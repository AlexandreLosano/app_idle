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dle-Normal" sheetId="1" state="visible" r:id="rId3"/>
    <sheet name="Transformação-Normal" sheetId="2" state="visible" r:id="rId4"/>
    <sheet name="Planilha1" sheetId="3" state="hidden" r:id="rId5"/>
  </sheets>
  <definedNames>
    <definedName function="false" hidden="false" name="foto" vbProcedure="false">IF(#ref!=#ref!,#ref!,#ref!)</definedName>
    <definedName function="false" hidden="true" name="wrn.faturamento." vbProcedure="false">{#N/A,#N/A,FALSE,"Mapa Janeiro_2004"}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<sst xmlns="http://schemas.openxmlformats.org/spreadsheetml/2006/main" count="748" uniqueCount="176">
  <si>
    <t xml:space="preserve">Fator</t>
  </si>
  <si>
    <t xml:space="preserve">Cont</t>
  </si>
  <si>
    <t xml:space="preserve">Valor</t>
  </si>
  <si>
    <t xml:space="preserve">Dgts</t>
  </si>
  <si>
    <t xml:space="preserve">PRINCIPAL</t>
  </si>
  <si>
    <t xml:space="preserve">-</t>
  </si>
  <si>
    <t xml:space="preserve">Fator Mult.</t>
  </si>
  <si>
    <t xml:space="preserve">k</t>
  </si>
  <si>
    <t xml:space="preserve">m</t>
  </si>
  <si>
    <t xml:space="preserve">Atual</t>
  </si>
  <si>
    <t xml:space="preserve">Dinheiro</t>
  </si>
  <si>
    <t xml:space="preserve">b</t>
  </si>
  <si>
    <t xml:space="preserve">Mina</t>
  </si>
  <si>
    <t xml:space="preserve">Prestigo Atual</t>
  </si>
  <si>
    <t xml:space="preserve">GAP</t>
  </si>
  <si>
    <t xml:space="preserve">Verificação</t>
  </si>
  <si>
    <t xml:space="preserve">Valor OffLine</t>
  </si>
  <si>
    <t xml:space="preserve">Próximo Prestigio</t>
  </si>
  <si>
    <t xml:space="preserve">t</t>
  </si>
  <si>
    <t xml:space="preserve">Meta</t>
  </si>
  <si>
    <t xml:space="preserve">Armazem</t>
  </si>
  <si>
    <t xml:space="preserve">Armazem Valor</t>
  </si>
  <si>
    <t xml:space="preserve">Elevador</t>
  </si>
  <si>
    <t xml:space="preserve">Elevador Valor</t>
  </si>
  <si>
    <t xml:space="preserve">Extração</t>
  </si>
  <si>
    <t xml:space="preserve">Extração Valor</t>
  </si>
  <si>
    <t xml:space="preserve">Ordem</t>
  </si>
  <si>
    <t xml:space="preserve">ColsAjust</t>
  </si>
  <si>
    <t xml:space="preserve">ColFator</t>
  </si>
  <si>
    <t xml:space="preserve">AjsuteCol</t>
  </si>
  <si>
    <t xml:space="preserve">Coluna</t>
  </si>
  <si>
    <t xml:space="preserve">Linha</t>
  </si>
  <si>
    <t xml:space="preserve">Valor Mínimo</t>
  </si>
  <si>
    <t xml:space="preserve">Multip.</t>
  </si>
  <si>
    <t xml:space="preserve">Repre.</t>
  </si>
  <si>
    <t xml:space="preserve">Valor Real</t>
  </si>
  <si>
    <t xml:space="preserve">aa</t>
  </si>
  <si>
    <t xml:space="preserve">Carvão</t>
  </si>
  <si>
    <t xml:space="preserve">bb</t>
  </si>
  <si>
    <t xml:space="preserve">bg</t>
  </si>
  <si>
    <t xml:space="preserve">*Poço 31</t>
  </si>
  <si>
    <t xml:space="preserve">ab</t>
  </si>
  <si>
    <t xml:space="preserve">Ouro</t>
  </si>
  <si>
    <t xml:space="preserve">ac</t>
  </si>
  <si>
    <t xml:space="preserve">Ilha</t>
  </si>
  <si>
    <t xml:space="preserve">Próximo</t>
  </si>
  <si>
    <t xml:space="preserve">Falta Horas</t>
  </si>
  <si>
    <t xml:space="preserve">Falta Letras</t>
  </si>
  <si>
    <t xml:space="preserve">Rubi</t>
  </si>
  <si>
    <t xml:space="preserve">bc</t>
  </si>
  <si>
    <t xml:space="preserve">ad</t>
  </si>
  <si>
    <t xml:space="preserve">Principal</t>
  </si>
  <si>
    <t xml:space="preserve">Diamante</t>
  </si>
  <si>
    <t xml:space="preserve">at</t>
  </si>
  <si>
    <t xml:space="preserve">ae</t>
  </si>
  <si>
    <t xml:space="preserve">Gelo</t>
  </si>
  <si>
    <t xml:space="preserve">Esmeralda</t>
  </si>
  <si>
    <t xml:space="preserve">be</t>
  </si>
  <si>
    <t xml:space="preserve">af</t>
  </si>
  <si>
    <t xml:space="preserve">Fogo</t>
  </si>
  <si>
    <t xml:space="preserve"> </t>
  </si>
  <si>
    <t xml:space="preserve">Total</t>
  </si>
  <si>
    <t xml:space="preserve">ag</t>
  </si>
  <si>
    <t xml:space="preserve">Aurora</t>
  </si>
  <si>
    <t xml:space="preserve">ah</t>
  </si>
  <si>
    <t xml:space="preserve">Crepúsculo</t>
  </si>
  <si>
    <t xml:space="preserve">Dinheiro de Gelo</t>
  </si>
  <si>
    <t xml:space="preserve">ai</t>
  </si>
  <si>
    <t xml:space="preserve">Antigo</t>
  </si>
  <si>
    <t xml:space="preserve">Prestigo</t>
  </si>
  <si>
    <t xml:space="preserve">aj</t>
  </si>
  <si>
    <t xml:space="preserve">Deserto</t>
  </si>
  <si>
    <t xml:space="preserve">ak</t>
  </si>
  <si>
    <t xml:space="preserve">Submarino</t>
  </si>
  <si>
    <t xml:space="preserve">Seletina</t>
  </si>
  <si>
    <t xml:space="preserve">az</t>
  </si>
  <si>
    <t xml:space="preserve">bd</t>
  </si>
  <si>
    <t xml:space="preserve">al</t>
  </si>
  <si>
    <t xml:space="preserve">Ametista</t>
  </si>
  <si>
    <t xml:space="preserve">ba</t>
  </si>
  <si>
    <t xml:space="preserve">am</t>
  </si>
  <si>
    <t xml:space="preserve">Tenho</t>
  </si>
  <si>
    <t xml:space="preserve">Safira</t>
  </si>
  <si>
    <t xml:space="preserve">an</t>
  </si>
  <si>
    <t xml:space="preserve">100X - 5M</t>
  </si>
  <si>
    <t xml:space="preserve">Cristal</t>
  </si>
  <si>
    <t xml:space="preserve">ao</t>
  </si>
  <si>
    <t xml:space="preserve">Jade</t>
  </si>
  <si>
    <t xml:space="preserve">ap</t>
  </si>
  <si>
    <t xml:space="preserve">Artefatos</t>
  </si>
  <si>
    <t xml:space="preserve">Ativo</t>
  </si>
  <si>
    <t xml:space="preserve">Tempo</t>
  </si>
  <si>
    <t xml:space="preserve">aq</t>
  </si>
  <si>
    <t xml:space="preserve">S</t>
  </si>
  <si>
    <t xml:space="preserve">Por tempo</t>
  </si>
  <si>
    <t xml:space="preserve">ar</t>
  </si>
  <si>
    <t xml:space="preserve">Dinheiro de Fogo</t>
  </si>
  <si>
    <t xml:space="preserve">as</t>
  </si>
  <si>
    <t xml:space="preserve">au</t>
  </si>
  <si>
    <t xml:space="preserve">Ambar</t>
  </si>
  <si>
    <t xml:space="preserve">ay</t>
  </si>
  <si>
    <t xml:space="preserve">av</t>
  </si>
  <si>
    <t xml:space="preserve">Pedra do Sol</t>
  </si>
  <si>
    <t xml:space="preserve">aw</t>
  </si>
  <si>
    <t xml:space="preserve">Topázio</t>
  </si>
  <si>
    <t xml:space="preserve">ax</t>
  </si>
  <si>
    <t xml:space="preserve">Platina</t>
  </si>
  <si>
    <t xml:space="preserve">Obsidiana</t>
  </si>
  <si>
    <t xml:space="preserve">Dinheiro da Aurora</t>
  </si>
  <si>
    <t xml:space="preserve">Heliodoro</t>
  </si>
  <si>
    <t xml:space="preserve">bf</t>
  </si>
  <si>
    <t xml:space="preserve">Soma Off</t>
  </si>
  <si>
    <t xml:space="preserve">Realgar</t>
  </si>
  <si>
    <t xml:space="preserve">Buster Anuncio</t>
  </si>
  <si>
    <t xml:space="preserve">Alexandrita</t>
  </si>
  <si>
    <t xml:space="preserve">bh</t>
  </si>
  <si>
    <t xml:space="preserve">Celestina</t>
  </si>
  <si>
    <t xml:space="preserve">bi</t>
  </si>
  <si>
    <t xml:space="preserve">Titanita</t>
  </si>
  <si>
    <t xml:space="preserve">bj</t>
  </si>
  <si>
    <t xml:space="preserve">bk</t>
  </si>
  <si>
    <t xml:space="preserve">bl</t>
  </si>
  <si>
    <t xml:space="preserve">Dinheiro do Crespúculo</t>
  </si>
  <si>
    <t xml:space="preserve">bm</t>
  </si>
  <si>
    <t xml:space="preserve">bn</t>
  </si>
  <si>
    <t xml:space="preserve">bo</t>
  </si>
  <si>
    <t xml:space="preserve">Fluorita</t>
  </si>
  <si>
    <t xml:space="preserve">bp</t>
  </si>
  <si>
    <t xml:space="preserve">Quartzo</t>
  </si>
  <si>
    <t xml:space="preserve">bq</t>
  </si>
  <si>
    <t xml:space="preserve">Argonita</t>
  </si>
  <si>
    <t xml:space="preserve">br</t>
  </si>
  <si>
    <t xml:space="preserve">Berilo</t>
  </si>
  <si>
    <t xml:space="preserve">bs</t>
  </si>
  <si>
    <t xml:space="preserve">Calcita</t>
  </si>
  <si>
    <t xml:space="preserve">bt</t>
  </si>
  <si>
    <t xml:space="preserve">bu</t>
  </si>
  <si>
    <t xml:space="preserve">bv</t>
  </si>
  <si>
    <t xml:space="preserve">Dinheiro do Antigo</t>
  </si>
  <si>
    <t xml:space="preserve">bw</t>
  </si>
  <si>
    <t xml:space="preserve">bx</t>
  </si>
  <si>
    <t xml:space="preserve">by</t>
  </si>
  <si>
    <t xml:space="preserve">Água-Marinha</t>
  </si>
  <si>
    <t xml:space="preserve">bz</t>
  </si>
  <si>
    <t xml:space="preserve">Amolita</t>
  </si>
  <si>
    <t xml:space="preserve">Azurita</t>
  </si>
  <si>
    <t xml:space="preserve">Pérola</t>
  </si>
  <si>
    <t xml:space="preserve">Turquesa</t>
  </si>
  <si>
    <t xml:space="preserve">Dinheiro do Deserto</t>
  </si>
  <si>
    <t xml:space="preserve">Crisoberílio</t>
  </si>
  <si>
    <t xml:space="preserve">Labradorita</t>
  </si>
  <si>
    <t xml:space="preserve">Aventurina</t>
  </si>
  <si>
    <t xml:space="preserve">Jaspe</t>
  </si>
  <si>
    <t xml:space="preserve">Cornalina</t>
  </si>
  <si>
    <t xml:space="preserve">Dinheiro do Submarino</t>
  </si>
  <si>
    <t xml:space="preserve">Nautilus</t>
  </si>
  <si>
    <t xml:space="preserve">Atlatis</t>
  </si>
  <si>
    <t xml:space="preserve">Bermudas</t>
  </si>
  <si>
    <t xml:space="preserve">Sereias</t>
  </si>
  <si>
    <t xml:space="preserve">Abismo</t>
  </si>
  <si>
    <t xml:space="preserve">Produção</t>
  </si>
  <si>
    <t xml:space="preserve">Vlr Total</t>
  </si>
  <si>
    <t xml:space="preserve">Digtos R</t>
  </si>
  <si>
    <t xml:space="preserve">Letra R</t>
  </si>
  <si>
    <t xml:space="preserve">Valor Fator</t>
  </si>
  <si>
    <t xml:space="preserve">Digitos F</t>
  </si>
  <si>
    <t xml:space="preserve">VlrBaseFator</t>
  </si>
  <si>
    <t xml:space="preserve">VlrVisF</t>
  </si>
  <si>
    <t xml:space="preserve">VlrVisFaFinal</t>
  </si>
  <si>
    <t xml:space="preserve">Letras F</t>
  </si>
  <si>
    <t xml:space="preserve">Pé</t>
  </si>
  <si>
    <t xml:space="preserve">Piso</t>
  </si>
  <si>
    <t xml:space="preserve">Espaço</t>
  </si>
  <si>
    <t xml:space="preserve">piso2 </t>
  </si>
  <si>
    <t xml:space="preserve">Espaço 2 </t>
  </si>
  <si>
    <t xml:space="preserve">Teto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</si>
</sst>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E+00"/>
    <numFmt numFmtId="166" formatCode="0.00%"/>
    <numFmt numFmtId="167" formatCode="#,##0"/>
    <numFmt numFmtId="168" formatCode="#,##0.0"/>
    <numFmt numFmtId="169" formatCode="0%"/>
    <numFmt numFmtId="170" formatCode="0E+00"/>
    <numFmt numFmtId="171" formatCode="[$-F400]h:mm:ss\ AM/PM"/>
    <numFmt numFmtId="172" formatCode="0.00"/>
    <numFmt numFmtId="173" formatCode="#,##0.00"/>
    <numFmt numFmtId="174" formatCode="0.0"/>
  </numFmts>
  <fonts count="15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0"/>
      <color theme="4" tint="0.7999"/>
      <name val="Arial"/>
      <family val="2"/>
      <charset val="1"/>
    </font>
    <font>
      <sz val="10"/>
      <color rgb="FF00B0F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0"/>
      <color theme="0"/>
      <name val="Arial"/>
      <family val="2"/>
      <charset val="1"/>
    </font>
    <font>
      <sz val="8"/>
      <color rgb="FF000000"/>
      <name val="Arial"/>
      <family val="2"/>
      <charset val="1"/>
    </font>
    <font>
      <sz val="10"/>
      <color theme="1"/>
      <name val="Arial"/>
      <family val="2"/>
      <charset val="1"/>
    </font>
  </fonts>
  <fills count="38">
    <fill>
      <patternFill patternType="none"/>
    </fill>
    <fill>
      <patternFill patternType="gray125"/>
    </fill>
    <fill>
      <patternFill patternType="solid">
        <fgColor rgb="FF92D050"/>
        <bgColor rgb="FFC0BB00"/>
      </patternFill>
    </fill>
    <fill>
      <patternFill patternType="solid">
        <fgColor rgb="FFC0BB00"/>
        <bgColor rgb="FFDFDA00"/>
      </patternFill>
    </fill>
    <fill>
      <patternFill patternType="solid">
        <fgColor rgb="FFDFDA00"/>
        <bgColor rgb="FFC0BB00"/>
      </patternFill>
    </fill>
    <fill>
      <patternFill patternType="solid">
        <fgColor theme="0" tint="-0.25"/>
        <bgColor rgb="FFB3A2C7"/>
      </patternFill>
    </fill>
    <fill>
      <patternFill patternType="solid">
        <fgColor rgb="FFFFFA21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D7F2FC"/>
        <bgColor rgb="FFDCE6F2"/>
      </patternFill>
    </fill>
    <fill>
      <patternFill patternType="solid">
        <fgColor rgb="FFFABF8F"/>
        <bgColor rgb="FFFAC090"/>
      </patternFill>
    </fill>
    <fill>
      <patternFill patternType="solid">
        <fgColor rgb="FFE8C8E5"/>
        <bgColor rgb="FFF2DCDB"/>
      </patternFill>
    </fill>
    <fill>
      <patternFill patternType="solid">
        <fgColor rgb="FFE4DFEC"/>
        <bgColor rgb="FFE6E0EC"/>
      </patternFill>
    </fill>
    <fill>
      <patternFill patternType="solid">
        <fgColor rgb="FF00B0F0"/>
        <bgColor rgb="FF31859C"/>
      </patternFill>
    </fill>
    <fill>
      <patternFill patternType="solid">
        <fgColor rgb="FFB7DEE8"/>
        <bgColor rgb="FFBDD7EE"/>
      </patternFill>
    </fill>
    <fill>
      <patternFill patternType="solid">
        <fgColor rgb="FF76CAE8"/>
        <bgColor rgb="FF92CDDC"/>
      </patternFill>
    </fill>
    <fill>
      <patternFill patternType="solid">
        <fgColor rgb="FFF2DCDB"/>
        <bgColor rgb="FFE6E0EC"/>
      </patternFill>
    </fill>
    <fill>
      <patternFill patternType="solid">
        <fgColor rgb="FFBDD7EE"/>
        <bgColor rgb="FFB7DEE8"/>
      </patternFill>
    </fill>
    <fill>
      <patternFill patternType="solid">
        <fgColor rgb="FFFFFF00"/>
        <bgColor rgb="FFFFFA21"/>
      </patternFill>
    </fill>
    <fill>
      <patternFill patternType="solid">
        <fgColor rgb="FF9966FF"/>
        <bgColor rgb="FFE05AD5"/>
      </patternFill>
    </fill>
    <fill>
      <patternFill patternType="solid">
        <fgColor theme="7" tint="0.7999"/>
        <bgColor rgb="FFE4DFEC"/>
      </patternFill>
    </fill>
    <fill>
      <patternFill patternType="solid">
        <fgColor theme="9" tint="-0.5"/>
        <bgColor rgb="FF632523"/>
      </patternFill>
    </fill>
    <fill>
      <patternFill patternType="solid">
        <fgColor theme="9" tint="-0.25"/>
        <bgColor rgb="FFE26B0A"/>
      </patternFill>
    </fill>
    <fill>
      <patternFill patternType="solid">
        <fgColor rgb="FFE26B0A"/>
        <bgColor rgb="FFE46C0A"/>
      </patternFill>
    </fill>
    <fill>
      <patternFill patternType="solid">
        <fgColor theme="9" tint="0.3999"/>
        <bgColor rgb="FFFABF8F"/>
      </patternFill>
    </fill>
    <fill>
      <patternFill patternType="solid">
        <fgColor rgb="FFCF19BF"/>
        <bgColor rgb="FFF517A6"/>
      </patternFill>
    </fill>
    <fill>
      <patternFill patternType="solid">
        <fgColor rgb="FFE05AD5"/>
        <bgColor rgb="FF9966FF"/>
      </patternFill>
    </fill>
    <fill>
      <patternFill patternType="solid">
        <fgColor theme="7" tint="-0.5"/>
        <bgColor rgb="FF333399"/>
      </patternFill>
    </fill>
    <fill>
      <patternFill patternType="solid">
        <fgColor theme="7" tint="0.3999"/>
        <bgColor rgb="FFB1A0C7"/>
      </patternFill>
    </fill>
    <fill>
      <patternFill patternType="solid">
        <fgColor rgb="FFB1A0C7"/>
        <bgColor rgb="FFB3A2C7"/>
      </patternFill>
    </fill>
    <fill>
      <patternFill patternType="solid">
        <fgColor theme="8" tint="-0.25"/>
        <bgColor rgb="FF2F75B5"/>
      </patternFill>
    </fill>
    <fill>
      <patternFill patternType="solid">
        <fgColor theme="8" tint="0.3999"/>
        <bgColor rgb="FF92CDDC"/>
      </patternFill>
    </fill>
    <fill>
      <patternFill patternType="solid">
        <fgColor rgb="FF92CDDC"/>
        <bgColor rgb="FF93CDDD"/>
      </patternFill>
    </fill>
    <fill>
      <patternFill patternType="solid">
        <fgColor theme="5" tint="-0.5"/>
        <bgColor rgb="FF403152"/>
      </patternFill>
    </fill>
    <fill>
      <patternFill patternType="solid">
        <fgColor theme="5" tint="0.3999"/>
        <bgColor rgb="FFDA9694"/>
      </patternFill>
    </fill>
    <fill>
      <patternFill patternType="solid">
        <fgColor rgb="FFDA9694"/>
        <bgColor rgb="FFD99694"/>
      </patternFill>
    </fill>
    <fill>
      <patternFill patternType="solid">
        <fgColor rgb="FF002060"/>
        <bgColor rgb="FF000080"/>
      </patternFill>
    </fill>
    <fill>
      <patternFill patternType="solid">
        <fgColor rgb="FF2F75B5"/>
        <bgColor rgb="FF31859C"/>
      </patternFill>
    </fill>
    <fill>
      <patternFill patternType="solid">
        <fgColor rgb="FFF517A6"/>
        <bgColor rgb="FFCF19B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6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6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6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8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9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9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1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1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1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14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8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8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17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1" fillId="1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1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1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1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1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1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1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1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1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1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1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1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2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2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1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1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21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1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3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23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3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19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2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5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5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5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5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25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5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5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5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25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5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1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1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2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7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7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7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7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8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8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8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8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8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8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7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7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7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7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9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9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19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9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9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9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2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9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1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1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1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1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1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13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29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9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3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4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4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3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3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3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15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3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3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6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6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36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6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6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6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2" fillId="36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16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1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1" fillId="3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2" fillId="3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3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4" fillId="6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8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4" fillId="9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4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1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11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4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1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1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16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4" fillId="1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517A6"/>
      <rgbColor rgb="FFE4DFEC"/>
      <rgbColor rgb="FF800000"/>
      <rgbColor rgb="FF008000"/>
      <rgbColor rgb="FF000080"/>
      <rgbColor rgb="FFFABF8F"/>
      <rgbColor rgb="FF800080"/>
      <rgbColor rgb="FF008080"/>
      <rgbColor rgb="FFBFBFBF"/>
      <rgbColor rgb="FF92D050"/>
      <rgbColor rgb="FF9966FF"/>
      <rgbColor rgb="FFE05AD5"/>
      <rgbColor rgb="FFF2DCDB"/>
      <rgbColor rgb="FFD7F2FC"/>
      <rgbColor rgb="FF660066"/>
      <rgbColor rgb="FFDA9694"/>
      <rgbColor rgb="FF0066CC"/>
      <rgbColor rgb="FFBDD7EE"/>
      <rgbColor rgb="FF000080"/>
      <rgbColor rgb="FFCF19BF"/>
      <rgbColor rgb="FFFFFA21"/>
      <rgbColor rgb="FF00FFFF"/>
      <rgbColor rgb="FF800080"/>
      <rgbColor rgb="FF800000"/>
      <rgbColor rgb="FF008080"/>
      <rgbColor rgb="FF0000FF"/>
      <rgbColor rgb="FF00B0F0"/>
      <rgbColor rgb="FFDCE6F2"/>
      <rgbColor rgb="FFB7DEE8"/>
      <rgbColor rgb="FFE6E0EC"/>
      <rgbColor rgb="FF93CDDD"/>
      <rgbColor rgb="FFD99694"/>
      <rgbColor rgb="FFB3A2C7"/>
      <rgbColor rgb="FFFAC090"/>
      <rgbColor rgb="FF2F75B5"/>
      <rgbColor rgb="FF76CAE8"/>
      <rgbColor rgb="FFC0BB00"/>
      <rgbColor rgb="FFDFDA00"/>
      <rgbColor rgb="FFE26B0A"/>
      <rgbColor rgb="FFE46C0A"/>
      <rgbColor rgb="FF92CDDC"/>
      <rgbColor rgb="FFB1A0C7"/>
      <rgbColor rgb="FF002060"/>
      <rgbColor rgb="FF31859C"/>
      <rgbColor rgb="FF003300"/>
      <rgbColor rgb="FF632523"/>
      <rgbColor rgb="FF984807"/>
      <rgbColor rgb="FFE8C8E5"/>
      <rgbColor rgb="FF333399"/>
      <rgbColor rgb="FF4031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_fator" displayName="tab_fator" ref="A1:D58" headerRowCount="1" totalsRowCount="0" totalsRowShown="0">
  <autoFilter ref="A1:D58"/>
  <tableColumns count="4">
    <tableColumn id="1" name="Fator"/>
    <tableColumn id="2" name="Cont"/>
    <tableColumn id="3" name="Valor"/>
    <tableColumn id="4" name="Dgts"/>
  </tableColumns>
</table>
</file>

<file path=xl/tables/table2.xml><?xml version="1.0" encoding="utf-8"?>
<table xmlns="http://schemas.openxmlformats.org/spreadsheetml/2006/main" id="2" name="tab_fatorTestes" displayName="tab_fatorTestes" ref="A1:D58" headerRowCount="1" totalsRowCount="0" totalsRowShown="0">
  <autoFilter ref="A1:D58"/>
  <tableColumns count="4">
    <tableColumn id="1" name="Fator"/>
    <tableColumn id="2" name="Cont"/>
    <tableColumn id="3" name="Valor"/>
    <tableColumn id="4" name="Dgts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 2007-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82"/>
  <sheetViews>
    <sheetView showFormulas="false" showGridLines="fals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T9" activeCellId="0" sqref="T9"/>
    </sheetView>
  </sheetViews>
  <sheetFormatPr defaultColWidth="9.1484375" defaultRowHeight="12.75" customHeight="true" zeroHeight="false" outlineLevelRow="0" outlineLevelCol="0"/>
  <cols>
    <col collapsed="false" customWidth="true" hidden="true" outlineLevel="0" max="2" min="1" style="1" width="8.71"/>
    <col collapsed="false" customWidth="true" hidden="true" outlineLevel="0" max="3" min="3" style="2" width="11.29"/>
    <col collapsed="false" customWidth="true" hidden="true" outlineLevel="0" max="4" min="4" style="1" width="8.71"/>
    <col collapsed="false" customWidth="true" hidden="false" outlineLevel="0" max="5" min="5" style="1" width="1"/>
    <col collapsed="false" customWidth="true" hidden="false" outlineLevel="0" max="6" min="6" style="1" width="10.71"/>
    <col collapsed="false" customWidth="true" hidden="false" outlineLevel="0" max="7" min="7" style="1" width="11"/>
    <col collapsed="false" customWidth="true" hidden="false" outlineLevel="0" max="8" min="8" style="3" width="5.29"/>
    <col collapsed="false" customWidth="true" hidden="false" outlineLevel="0" max="9" min="9" style="3" width="5"/>
    <col collapsed="false" customWidth="true" hidden="false" outlineLevel="0" max="10" min="10" style="3" width="17.42"/>
    <col collapsed="false" customWidth="true" hidden="false" outlineLevel="0" max="11" min="11" style="3" width="10.85"/>
    <col collapsed="false" customWidth="true" hidden="false" outlineLevel="0" max="12" min="12" style="4" width="1"/>
    <col collapsed="false" customWidth="true" hidden="false" outlineLevel="0" max="13" min="13" style="5" width="13.86"/>
    <col collapsed="false" customWidth="true" hidden="false" outlineLevel="0" max="14" min="14" style="5" width="6"/>
    <col collapsed="false" customWidth="true" hidden="false" outlineLevel="0" max="15" min="15" style="5" width="5.57"/>
    <col collapsed="false" customWidth="true" hidden="true" outlineLevel="0" max="16" min="16" style="4" width="8.42"/>
    <col collapsed="false" customWidth="true" hidden="false" outlineLevel="0" max="17" min="17" style="5" width="6"/>
    <col collapsed="false" customWidth="true" hidden="false" outlineLevel="0" max="18" min="18" style="5" width="5.57"/>
    <col collapsed="false" customWidth="true" hidden="true" outlineLevel="0" max="19" min="19" style="4" width="10"/>
    <col collapsed="false" customWidth="true" hidden="false" outlineLevel="0" max="20" min="20" style="5" width="6"/>
    <col collapsed="false" customWidth="true" hidden="false" outlineLevel="0" max="21" min="21" style="5" width="5.57"/>
    <col collapsed="false" customWidth="true" hidden="true" outlineLevel="0" max="22" min="22" style="4" width="15.57"/>
    <col collapsed="false" customWidth="true" hidden="false" outlineLevel="0" max="23" min="23" style="5" width="8.86"/>
    <col collapsed="false" customWidth="true" hidden="true" outlineLevel="0" max="24" min="24" style="4" width="1.85"/>
    <col collapsed="false" customWidth="true" hidden="true" outlineLevel="0" max="30" min="25" style="5" width="11.85"/>
    <col collapsed="false" customWidth="true" hidden="false" outlineLevel="0" max="32" min="31" style="5" width="11"/>
    <col collapsed="false" customWidth="true" hidden="true" outlineLevel="0" max="33" min="33" style="4" width="1.85"/>
    <col collapsed="false" customWidth="true" hidden="false" outlineLevel="0" max="34" min="34" style="5" width="12.71"/>
    <col collapsed="false" customWidth="true" hidden="false" outlineLevel="0" max="35" min="35" style="4" width="1"/>
    <col collapsed="false" customWidth="true" hidden="false" outlineLevel="0" max="36" min="36" style="4" width="14"/>
    <col collapsed="false" customWidth="true" hidden="false" outlineLevel="0" max="37" min="37" style="5" width="7.71"/>
    <col collapsed="false" customWidth="true" hidden="true" outlineLevel="0" max="38" min="38" style="5" width="7.71"/>
    <col collapsed="false" customWidth="true" hidden="false" outlineLevel="0" max="39" min="39" style="5" width="11.57"/>
    <col collapsed="false" customWidth="true" hidden="false" outlineLevel="0" max="40" min="40" style="5" width="6.43"/>
    <col collapsed="false" customWidth="true" hidden="true" outlineLevel="0" max="41" min="41" style="5" width="15"/>
    <col collapsed="false" customWidth="true" hidden="false" outlineLevel="0" max="43" min="42" style="5" width="9.71"/>
    <col collapsed="false" customWidth="true" hidden="false" outlineLevel="0" max="44" min="44" style="6" width="9.71"/>
    <col collapsed="false" customWidth="true" hidden="true" outlineLevel="0" max="45" min="45" style="5" width="9.71"/>
    <col collapsed="false" customWidth="true" hidden="false" outlineLevel="0" max="46" min="46" style="5" width="7.71"/>
    <col collapsed="false" customWidth="true" hidden="true" outlineLevel="0" max="47" min="47" style="5" width="10.42"/>
    <col collapsed="false" customWidth="true" hidden="false" outlineLevel="0" max="48" min="48" style="5" width="10.42"/>
    <col collapsed="false" customWidth="false" hidden="false" outlineLevel="0" max="49" min="49" style="5" width="9.14"/>
    <col collapsed="false" customWidth="true" hidden="false" outlineLevel="0" max="50" min="50" style="4" width="14.71"/>
    <col collapsed="false" customWidth="true" hidden="false" outlineLevel="0" max="53" min="53" style="4" width="9.29"/>
  </cols>
  <sheetData>
    <row r="1" customFormat="false" ht="12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M1" s="7" t="s">
        <v>4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</row>
    <row r="2" customFormat="false" ht="12.75" hidden="false" customHeight="true" outlineLevel="0" collapsed="false">
      <c r="A2" s="1" t="s">
        <v>5</v>
      </c>
      <c r="B2" s="1" t="n">
        <v>1</v>
      </c>
      <c r="C2" s="2" t="n">
        <v>1</v>
      </c>
      <c r="D2" s="8" t="n">
        <f aca="false">LEN(TEXT(C2,0))</f>
        <v>1</v>
      </c>
      <c r="F2" s="9" t="s">
        <v>6</v>
      </c>
      <c r="G2" s="10" t="n">
        <f aca="false">ROUND(G38*G39,1)</f>
        <v>59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</row>
    <row r="3" customFormat="false" ht="12.75" hidden="false" customHeight="true" outlineLevel="0" collapsed="false">
      <c r="A3" s="1" t="s">
        <v>7</v>
      </c>
      <c r="B3" s="1" t="n">
        <f aca="false">B2+1</f>
        <v>2</v>
      </c>
      <c r="C3" s="2" t="n">
        <f aca="false">C2*1000</f>
        <v>1000</v>
      </c>
      <c r="D3" s="8" t="n">
        <f aca="false">LEN(TEXT(C3,0))</f>
        <v>4</v>
      </c>
      <c r="E3" s="5"/>
      <c r="F3" s="3"/>
      <c r="G3" s="3"/>
    </row>
    <row r="4" customFormat="false" ht="12.75" hidden="false" customHeight="true" outlineLevel="0" collapsed="false">
      <c r="A4" s="1" t="s">
        <v>8</v>
      </c>
      <c r="B4" s="1" t="n">
        <f aca="false">B3+1</f>
        <v>3</v>
      </c>
      <c r="C4" s="2" t="n">
        <f aca="false">C3*1000</f>
        <v>1000000</v>
      </c>
      <c r="D4" s="8" t="n">
        <f aca="false">LEN(TEXT(C4,0))</f>
        <v>7</v>
      </c>
      <c r="E4" s="11"/>
      <c r="F4" s="12" t="s">
        <v>9</v>
      </c>
      <c r="G4" s="13" t="n">
        <f aca="false">(SUM(AK7:AK11,AK17:AK21,AK27:AK31,AK37:AK41,AK47:AK51,AK57:AK61,AK67:AK71,AK77:AK81))</f>
        <v>151</v>
      </c>
      <c r="H4" s="14"/>
      <c r="I4" s="15" t="n">
        <f aca="false">G4/G6</f>
        <v>0.888235294117647</v>
      </c>
      <c r="J4" s="16"/>
      <c r="AJ4" s="17" t="s">
        <v>10</v>
      </c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 customFormat="false" ht="12.75" hidden="false" customHeight="true" outlineLevel="0" collapsed="false">
      <c r="A5" s="1" t="s">
        <v>11</v>
      </c>
      <c r="B5" s="1" t="n">
        <f aca="false">B4+1</f>
        <v>4</v>
      </c>
      <c r="C5" s="2" t="n">
        <f aca="false">C4*1000</f>
        <v>1000000000</v>
      </c>
      <c r="D5" s="8" t="n">
        <f aca="false">LEN(TEXT(C5,0))</f>
        <v>10</v>
      </c>
      <c r="E5" s="11"/>
      <c r="M5" s="18" t="s">
        <v>10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J5" s="19" t="s">
        <v>12</v>
      </c>
      <c r="AK5" s="20" t="s">
        <v>13</v>
      </c>
      <c r="AL5" s="21" t="s">
        <v>14</v>
      </c>
      <c r="AM5" s="22" t="s">
        <v>15</v>
      </c>
      <c r="AN5" s="23" t="s">
        <v>16</v>
      </c>
      <c r="AO5" s="23"/>
      <c r="AP5" s="23"/>
      <c r="AQ5" s="23"/>
      <c r="AR5" s="23"/>
      <c r="AS5" s="24"/>
      <c r="AT5" s="23" t="s">
        <v>17</v>
      </c>
      <c r="AU5" s="23"/>
      <c r="AV5" s="23"/>
      <c r="AW5" s="23"/>
    </row>
    <row r="6" customFormat="false" ht="12.75" hidden="false" customHeight="true" outlineLevel="0" collapsed="false">
      <c r="A6" s="1" t="s">
        <v>18</v>
      </c>
      <c r="B6" s="1" t="n">
        <f aca="false">B5+1</f>
        <v>5</v>
      </c>
      <c r="C6" s="2" t="n">
        <f aca="false">C5*1000</f>
        <v>1000000000000</v>
      </c>
      <c r="D6" s="8" t="n">
        <f aca="false">LEN(TEXT(C6,0))</f>
        <v>13</v>
      </c>
      <c r="E6" s="25"/>
      <c r="F6" s="12" t="s">
        <v>19</v>
      </c>
      <c r="G6" s="12" t="n">
        <v>170</v>
      </c>
      <c r="H6" s="16"/>
      <c r="I6" s="16" t="n">
        <f aca="false">(6*5)*8</f>
        <v>240</v>
      </c>
      <c r="M6" s="26" t="s">
        <v>12</v>
      </c>
      <c r="N6" s="26" t="s">
        <v>20</v>
      </c>
      <c r="O6" s="26"/>
      <c r="P6" s="27" t="s">
        <v>21</v>
      </c>
      <c r="Q6" s="26" t="s">
        <v>22</v>
      </c>
      <c r="R6" s="26"/>
      <c r="S6" s="27" t="s">
        <v>23</v>
      </c>
      <c r="T6" s="26" t="s">
        <v>24</v>
      </c>
      <c r="U6" s="26"/>
      <c r="V6" s="28" t="s">
        <v>25</v>
      </c>
      <c r="W6" s="29" t="s">
        <v>26</v>
      </c>
      <c r="X6" s="30"/>
      <c r="Y6" s="26" t="s">
        <v>2</v>
      </c>
      <c r="Z6" s="31" t="s">
        <v>27</v>
      </c>
      <c r="AA6" s="31" t="s">
        <v>28</v>
      </c>
      <c r="AB6" s="31" t="s">
        <v>29</v>
      </c>
      <c r="AC6" s="31" t="s">
        <v>30</v>
      </c>
      <c r="AD6" s="31" t="s">
        <v>31</v>
      </c>
      <c r="AE6" s="29" t="s">
        <v>32</v>
      </c>
      <c r="AF6" s="29"/>
      <c r="AG6" s="27"/>
      <c r="AH6" s="29" t="s">
        <v>15</v>
      </c>
      <c r="AJ6" s="19"/>
      <c r="AK6" s="20"/>
      <c r="AL6" s="21"/>
      <c r="AM6" s="22"/>
      <c r="AN6" s="32" t="s">
        <v>26</v>
      </c>
      <c r="AO6" s="32"/>
      <c r="AP6" s="32" t="s">
        <v>2</v>
      </c>
      <c r="AQ6" s="32" t="s">
        <v>33</v>
      </c>
      <c r="AR6" s="33" t="s">
        <v>34</v>
      </c>
      <c r="AS6" s="31"/>
      <c r="AT6" s="31" t="s">
        <v>26</v>
      </c>
      <c r="AU6" s="31" t="s">
        <v>35</v>
      </c>
      <c r="AV6" s="31" t="s">
        <v>2</v>
      </c>
      <c r="AW6" s="34" t="s">
        <v>33</v>
      </c>
      <c r="AY6" s="5"/>
      <c r="AZ6" s="5"/>
      <c r="BA6" s="5"/>
      <c r="BB6" s="5"/>
      <c r="BC6" s="5"/>
    </row>
    <row r="7" customFormat="false" ht="12.75" hidden="false" customHeight="false" outlineLevel="0" collapsed="false">
      <c r="A7" s="1" t="s">
        <v>36</v>
      </c>
      <c r="B7" s="1" t="n">
        <f aca="false">B6+1</f>
        <v>6</v>
      </c>
      <c r="C7" s="2" t="n">
        <f aca="false">C6*1000</f>
        <v>1000000000000000</v>
      </c>
      <c r="D7" s="8" t="n">
        <f aca="false">LEN(TEXT(C7,0))</f>
        <v>16</v>
      </c>
      <c r="E7" s="25"/>
      <c r="M7" s="35" t="s">
        <v>37</v>
      </c>
      <c r="N7" s="36" t="n">
        <v>427</v>
      </c>
      <c r="O7" s="37" t="s">
        <v>38</v>
      </c>
      <c r="P7" s="5" t="n">
        <f aca="false">N7*(VLOOKUP(O7,tab_fator[],3,0))</f>
        <v>4.27E+098</v>
      </c>
      <c r="Q7" s="36" t="n">
        <v>446</v>
      </c>
      <c r="R7" s="37" t="s">
        <v>38</v>
      </c>
      <c r="S7" s="5" t="n">
        <f aca="false">Q7*(VLOOKUP(R7,tab_fator[],3,0))</f>
        <v>4.46E+098</v>
      </c>
      <c r="T7" s="36" t="n">
        <v>403</v>
      </c>
      <c r="U7" s="37" t="s">
        <v>38</v>
      </c>
      <c r="V7" s="36" t="n">
        <f aca="false">T7*(VLOOKUP(U7,tab_fator[],3,0))</f>
        <v>4.03E+098</v>
      </c>
      <c r="W7" s="38" t="n">
        <f aca="false">_xlfn.RANK.EQ(V7,$V7:$V11)</f>
        <v>2</v>
      </c>
      <c r="X7" s="5"/>
      <c r="Y7" s="36" t="n">
        <f aca="false">MIN(V7,S7,P7)</f>
        <v>4.03E+098</v>
      </c>
      <c r="Z7" s="5" t="n">
        <f aca="false">MATCH(Y7,M7:V7,0)</f>
        <v>10</v>
      </c>
      <c r="AA7" s="5" t="n">
        <f aca="false">COLUMN($L$1)</f>
        <v>12</v>
      </c>
      <c r="AB7" s="5" t="n">
        <v>2</v>
      </c>
      <c r="AC7" s="5" t="n">
        <f aca="false">Z7+AA7-AB7</f>
        <v>20</v>
      </c>
      <c r="AD7" s="5" t="n">
        <f aca="false">ROW(M7)</f>
        <v>7</v>
      </c>
      <c r="AE7" s="39" t="n">
        <f aca="true" t="array" ref="AE7:AE7">INDIRECT(ADDRESS(AD7,AC7,1,1))</f>
        <v>403</v>
      </c>
      <c r="AF7" s="39" t="str">
        <f aca="true" t="array" ref="AF7:AF7">INDIRECT(ADDRESS(AD7,AC7+1,1,1))</f>
        <v>bb</v>
      </c>
      <c r="AG7" s="5"/>
      <c r="AH7" s="39" t="str">
        <f aca="false">IF(AND(V7&lt;S7,V7&lt;P7),"Equilibrado","Ver")</f>
        <v>Equilibrado</v>
      </c>
      <c r="AJ7" s="40" t="s">
        <v>37</v>
      </c>
      <c r="AK7" s="36" t="n">
        <v>6</v>
      </c>
      <c r="AL7" s="39" t="n">
        <f aca="false">VLOOKUP(I10,tab_fator[],2,0)-VLOOKUP(AQ7,tab_fator[],2,0)</f>
        <v>2</v>
      </c>
      <c r="AM7" s="5" t="str">
        <f aca="false">IF(AN7+AT7=6,"Equilibrado","Ver")</f>
        <v>Ver</v>
      </c>
      <c r="AN7" s="41" t="n">
        <f aca="false">_xlfn.RANK.EQ(AO7,AO7:AO11)</f>
        <v>2</v>
      </c>
      <c r="AO7" s="5" t="n">
        <f aca="false">AP7*(VLOOKUP(AQ7,tab_fator[],3,0))</f>
        <v>2.38E+099</v>
      </c>
      <c r="AP7" s="5" t="n">
        <f aca="false">'Transformação-Normal'!Q7</f>
        <v>2.38</v>
      </c>
      <c r="AQ7" s="3" t="str">
        <f aca="false">'Transformação-Normal'!R7</f>
        <v>bc</v>
      </c>
      <c r="AR7" s="42" t="n">
        <f aca="false">AO7/SUM(AO7:AO11)</f>
        <v>0.20995800839832</v>
      </c>
      <c r="AS7" s="43" t="n">
        <f aca="false">(AP7*VLOOKUP(AQ7,tab_fator[],3,0))+
(AP8*VLOOKUP(AQ8,tab_fator[],3,0))+
(AP9*VLOOKUP(AQ9,tab_fator[],3,0))+
(AP10*VLOOKUP(AQ10,tab_fator[],3,0))+
(AP11*VLOOKUP(AQ11,tab_fator[],3,0))</f>
        <v>1.13356E+100</v>
      </c>
      <c r="AT7" s="11" t="n">
        <f aca="false">_xlfn.RANK.EQ(AU7,$AU$7:$AU$11,1)</f>
        <v>5</v>
      </c>
      <c r="AU7" s="44" t="n">
        <f aca="false">AV7*(VLOOKUP(AW7,tab_fator[],3,0))</f>
        <v>7.6705E+112</v>
      </c>
      <c r="AV7" s="5" t="n">
        <v>76.705</v>
      </c>
      <c r="AW7" s="37" t="s">
        <v>39</v>
      </c>
      <c r="AX7" s="4" t="s">
        <v>40</v>
      </c>
      <c r="AY7" s="5"/>
      <c r="AZ7" s="5"/>
      <c r="BA7" s="5"/>
      <c r="BB7" s="5"/>
      <c r="BC7" s="5"/>
    </row>
    <row r="8" customFormat="false" ht="12.75" hidden="false" customHeight="true" outlineLevel="0" collapsed="false">
      <c r="A8" s="1" t="s">
        <v>41</v>
      </c>
      <c r="B8" s="1" t="n">
        <f aca="false">B7+1</f>
        <v>7</v>
      </c>
      <c r="C8" s="2" t="n">
        <f aca="false">C7*1000</f>
        <v>1E+018</v>
      </c>
      <c r="D8" s="8" t="n">
        <f aca="false">LEN(TEXT(C8,0))</f>
        <v>19</v>
      </c>
      <c r="E8" s="25"/>
      <c r="F8" s="45" t="s">
        <v>4</v>
      </c>
      <c r="G8" s="45"/>
      <c r="H8" s="45"/>
      <c r="I8" s="45"/>
      <c r="J8" s="45"/>
      <c r="K8" s="45"/>
      <c r="M8" s="46" t="s">
        <v>42</v>
      </c>
      <c r="N8" s="46" t="n">
        <v>445</v>
      </c>
      <c r="O8" s="47" t="s">
        <v>38</v>
      </c>
      <c r="P8" s="48" t="n">
        <f aca="false">N8*(VLOOKUP(O8,tab_fator[],3,0))</f>
        <v>4.45E+098</v>
      </c>
      <c r="Q8" s="46" t="n">
        <v>398</v>
      </c>
      <c r="R8" s="47" t="s">
        <v>38</v>
      </c>
      <c r="S8" s="48" t="n">
        <f aca="false">Q8*(VLOOKUP(R8,tab_fator[],3,0))</f>
        <v>3.98E+098</v>
      </c>
      <c r="T8" s="46" t="n">
        <v>344</v>
      </c>
      <c r="U8" s="47" t="s">
        <v>38</v>
      </c>
      <c r="V8" s="46" t="n">
        <f aca="false">T8*(VLOOKUP(U8,tab_fator[],3,0))</f>
        <v>3.44E+098</v>
      </c>
      <c r="W8" s="49" t="n">
        <f aca="false">_xlfn.RANK.EQ(V8,$V$7:$V$11)</f>
        <v>3</v>
      </c>
      <c r="X8" s="50"/>
      <c r="Y8" s="46" t="n">
        <f aca="false">MIN(V8,S8,P8)</f>
        <v>3.44E+098</v>
      </c>
      <c r="Z8" s="48" t="n">
        <f aca="false">MATCH(Y8,M8:V8,0)</f>
        <v>10</v>
      </c>
      <c r="AA8" s="48" t="n">
        <f aca="false">COLUMN($L$1)</f>
        <v>12</v>
      </c>
      <c r="AB8" s="48" t="n">
        <v>2</v>
      </c>
      <c r="AC8" s="48" t="n">
        <f aca="false">Z8+AA8-AB8</f>
        <v>20</v>
      </c>
      <c r="AD8" s="48" t="n">
        <f aca="false">ROW(X8)</f>
        <v>8</v>
      </c>
      <c r="AE8" s="51" t="n">
        <f aca="true" t="array" ref="AE8:AE8">INDIRECT(ADDRESS(AD8,AC8,1,1))</f>
        <v>344</v>
      </c>
      <c r="AF8" s="51" t="str">
        <f aca="true" t="array" ref="AF8:AF8">INDIRECT(ADDRESS(AD8,AC8+1,1,1))</f>
        <v>bb</v>
      </c>
      <c r="AG8" s="48"/>
      <c r="AH8" s="51" t="str">
        <f aca="false">IF(AND(V8&lt;S8,V8&lt;P8),"Equilibrado","Ver")</f>
        <v>Equilibrado</v>
      </c>
      <c r="AJ8" s="52" t="s">
        <v>42</v>
      </c>
      <c r="AK8" s="53" t="n">
        <v>6</v>
      </c>
      <c r="AL8" s="54" t="n">
        <f aca="false">VLOOKUP(I10,tab_fator[],2,0)-VLOOKUP(AQ8,tab_fator[],2,0)</f>
        <v>2</v>
      </c>
      <c r="AM8" s="50" t="str">
        <f aca="false">IF(AN8+AT8=6,"Equilibrado","Ver")</f>
        <v>Equilibrado</v>
      </c>
      <c r="AN8" s="55" t="n">
        <f aca="false">_xlfn.RANK.EQ(AO8,AO7:AO11)</f>
        <v>3</v>
      </c>
      <c r="AO8" s="50" t="n">
        <f aca="false">AP8*(VLOOKUP(AQ8,tab_fator[],3,0))</f>
        <v>2.03E+099</v>
      </c>
      <c r="AP8" s="50" t="n">
        <f aca="false">'Transformação-Normal'!Q8</f>
        <v>2.03</v>
      </c>
      <c r="AQ8" s="48" t="str">
        <f aca="false">'Transformação-Normal'!R8</f>
        <v>bc</v>
      </c>
      <c r="AR8" s="56" t="n">
        <f aca="false">AO8/SUM(AO7:AO11)</f>
        <v>0.179081830692685</v>
      </c>
      <c r="AS8" s="48" t="str">
        <f aca="false">_xlfn.XLOOKUP((LEN(TEXT(AS7,0))),tab_fator[Dgts],tab_fator[Fator],"errro",-1,1)</f>
        <v>bc</v>
      </c>
      <c r="AT8" s="57" t="n">
        <f aca="false">_xlfn.RANK.EQ(AU8,$AU$7:$AU$11,1)</f>
        <v>3</v>
      </c>
      <c r="AU8" s="58" t="n">
        <f aca="false">AV8*(VLOOKUP(AW8,tab_fator[],3,0))</f>
        <v>7.6704E+112</v>
      </c>
      <c r="AV8" s="50" t="n">
        <v>76.704</v>
      </c>
      <c r="AW8" s="47" t="s">
        <v>39</v>
      </c>
      <c r="AX8" s="4" t="s">
        <v>40</v>
      </c>
      <c r="AY8" s="5"/>
      <c r="AZ8" s="5"/>
      <c r="BA8" s="5"/>
      <c r="BB8" s="5"/>
      <c r="BC8" s="5"/>
    </row>
    <row r="9" customFormat="false" ht="12.75" hidden="false" customHeight="true" outlineLevel="0" collapsed="false">
      <c r="A9" s="1" t="s">
        <v>43</v>
      </c>
      <c r="B9" s="1" t="n">
        <f aca="false">B8+1</f>
        <v>8</v>
      </c>
      <c r="C9" s="2" t="n">
        <f aca="false">C8*1000</f>
        <v>1E+021</v>
      </c>
      <c r="D9" s="8" t="n">
        <f aca="false">LEN(TEXT(C9,0))</f>
        <v>22</v>
      </c>
      <c r="E9" s="25"/>
      <c r="F9" s="59" t="s">
        <v>44</v>
      </c>
      <c r="G9" s="59" t="s">
        <v>45</v>
      </c>
      <c r="H9" s="60" t="s">
        <v>2</v>
      </c>
      <c r="I9" s="60"/>
      <c r="J9" s="59" t="s">
        <v>46</v>
      </c>
      <c r="K9" s="59" t="s">
        <v>47</v>
      </c>
      <c r="M9" s="35" t="s">
        <v>48</v>
      </c>
      <c r="N9" s="36" t="n">
        <v>1.31</v>
      </c>
      <c r="O9" s="37" t="s">
        <v>49</v>
      </c>
      <c r="P9" s="5" t="n">
        <f aca="false">N9*(VLOOKUP(O9,tab_fator[],3,0))</f>
        <v>1.31E+099</v>
      </c>
      <c r="Q9" s="36" t="n">
        <v>1.36</v>
      </c>
      <c r="R9" s="37" t="s">
        <v>49</v>
      </c>
      <c r="S9" s="5" t="n">
        <f aca="false">Q9*(VLOOKUP(R9,tab_fator[],3,0))</f>
        <v>1.36E+099</v>
      </c>
      <c r="T9" s="36" t="n">
        <v>1.16</v>
      </c>
      <c r="U9" s="37" t="s">
        <v>49</v>
      </c>
      <c r="V9" s="36" t="n">
        <f aca="false">T9*(VLOOKUP(U9,tab_fator[],3,0))</f>
        <v>1.16E+099</v>
      </c>
      <c r="W9" s="38" t="n">
        <f aca="false">_xlfn.RANK.EQ(V9,$V$7:$V$11)</f>
        <v>1</v>
      </c>
      <c r="X9" s="5"/>
      <c r="Y9" s="36" t="n">
        <f aca="false">MIN(V9,S9,P9)</f>
        <v>1.16E+099</v>
      </c>
      <c r="Z9" s="5" t="n">
        <f aca="false">MATCH(Y9,M9:V9,0)</f>
        <v>10</v>
      </c>
      <c r="AA9" s="5" t="n">
        <f aca="false">COLUMN($L$1)</f>
        <v>12</v>
      </c>
      <c r="AB9" s="5" t="n">
        <v>2</v>
      </c>
      <c r="AC9" s="5" t="n">
        <f aca="false">Z9+AA9-AB9</f>
        <v>20</v>
      </c>
      <c r="AD9" s="5" t="n">
        <f aca="false">ROW(X9)</f>
        <v>9</v>
      </c>
      <c r="AE9" s="39" t="n">
        <f aca="true" t="array" ref="AE9:AE9">INDIRECT(ADDRESS(AD9,AC9,1,1))</f>
        <v>1.16</v>
      </c>
      <c r="AF9" s="39" t="str">
        <f aca="true" t="array" ref="AF9:AF9">INDIRECT(ADDRESS(AD9,AC9+1,1,1))</f>
        <v>bc</v>
      </c>
      <c r="AG9" s="5"/>
      <c r="AH9" s="39" t="str">
        <f aca="false">IF(AND(V9&lt;S9,V9&lt;P9),"Equilibrado","Ver")</f>
        <v>Equilibrado</v>
      </c>
      <c r="AJ9" s="40" t="s">
        <v>48</v>
      </c>
      <c r="AK9" s="36" t="n">
        <v>6</v>
      </c>
      <c r="AL9" s="39" t="n">
        <f aca="false">VLOOKUP(I10,tab_fator[],2,0)-VLOOKUP(AQ9,tab_fator[],2,0)</f>
        <v>2</v>
      </c>
      <c r="AM9" s="5" t="str">
        <f aca="false">IF(AN9+AT9=6,"Equilibrado","Ver")</f>
        <v>Ver</v>
      </c>
      <c r="AN9" s="41" t="n">
        <f aca="false">_xlfn.RANK.EQ(AO9,AO7:AO11)</f>
        <v>1</v>
      </c>
      <c r="AO9" s="5" t="n">
        <f aca="false">AP9*(VLOOKUP(AQ9,tab_fator[],3,0))</f>
        <v>6.84E+099</v>
      </c>
      <c r="AP9" s="5" t="n">
        <f aca="false">'Transformação-Normal'!Q9</f>
        <v>6.84</v>
      </c>
      <c r="AQ9" s="3" t="str">
        <f aca="false">'Transformação-Normal'!R9</f>
        <v>bc</v>
      </c>
      <c r="AR9" s="42" t="n">
        <f aca="false">AO9/SUM(AO7:AO11)</f>
        <v>0.603408730018702</v>
      </c>
      <c r="AS9" s="5" t="n">
        <f aca="false">VLOOKUP(AS8,tab_fator[],3,0)</f>
        <v>1E+099</v>
      </c>
      <c r="AT9" s="11" t="n">
        <f aca="false">_xlfn.RANK.EQ(AU9,$AU$7:$AU$11,1)</f>
        <v>2</v>
      </c>
      <c r="AU9" s="44" t="n">
        <f aca="false">AV9*(VLOOKUP(AW9,tab_fator[],3,0))</f>
        <v>7.6703E+112</v>
      </c>
      <c r="AV9" s="5" t="n">
        <v>76.703</v>
      </c>
      <c r="AW9" s="37" t="s">
        <v>39</v>
      </c>
      <c r="AX9" s="4" t="s">
        <v>40</v>
      </c>
      <c r="AY9" s="5"/>
      <c r="AZ9" s="5"/>
      <c r="BA9" s="5"/>
      <c r="BB9" s="5"/>
      <c r="BC9" s="5"/>
    </row>
    <row r="10" customFormat="false" ht="12.75" hidden="false" customHeight="true" outlineLevel="0" collapsed="false">
      <c r="A10" s="1" t="s">
        <v>50</v>
      </c>
      <c r="B10" s="1" t="n">
        <f aca="false">B9+1</f>
        <v>9</v>
      </c>
      <c r="C10" s="2" t="n">
        <f aca="false">C9*1000</f>
        <v>1E+024</v>
      </c>
      <c r="D10" s="8" t="n">
        <f aca="false">LEN(TEXT(C10,0))</f>
        <v>25</v>
      </c>
      <c r="E10" s="25"/>
      <c r="F10" s="61" t="s">
        <v>51</v>
      </c>
      <c r="G10" s="61" t="str">
        <f aca="false">_xlfn.XLOOKUP(1,AT7:AT11,AJ7:AJ11,"Erro",0,1)</f>
        <v>Esmeralda</v>
      </c>
      <c r="H10" s="62" t="n">
        <f aca="false">VLOOKUP(G10,$AJ$7:$AW$82,13,0)</f>
        <v>7.71</v>
      </c>
      <c r="I10" s="63" t="str">
        <f aca="false">VLOOKUP(G10,$AJ$7:$AW$82,14,0)</f>
        <v>be</v>
      </c>
      <c r="J10" s="64" t="str">
        <f aca="false">_xlfn.CONCAT(INT(((((VLOOKUP(1,$AT$7:$AW$11,3,0)*(VLOOKUP(((VLOOKUP((VLOOKUP(1,$AT$7:$AW$11,4,0)),tab_fator[],2,0))-(VLOOKUP(AQ12,tab_fator[],2,0))+1),tab_fator[[#All],[Cont]:[Valor]],2,0)))/$AP$12)/60/60/24)))," Dias e ",TEXT(((((VLOOKUP(1,$AT$7:$AW$11,3,0)*(VLOOKUP(((VLOOKUP((VLOOKUP(1,$AT$7:$AW$11,4,0)),tab_fator[],2,0))-(VLOOKUP(AQ12,tab_fator[],2,0))+1),tab_fator[[#All],[Cont]:[Valor]],2,0)))/$AP$12)/60/60/24)),"hh:mm"))</f>
        <v>7 Dias e 21:31</v>
      </c>
      <c r="K10" s="64" t="n">
        <f aca="false">(VLOOKUP(AQ12,tab_fator[],2,0)-(VLOOKUP(VLOOKUP(1,$AT$7:$AW$11,4,0),tab_fator[],2,0)))*-1</f>
        <v>2</v>
      </c>
      <c r="L10" s="65"/>
      <c r="M10" s="46" t="s">
        <v>52</v>
      </c>
      <c r="N10" s="46" t="n">
        <v>220</v>
      </c>
      <c r="O10" s="47" t="s">
        <v>53</v>
      </c>
      <c r="P10" s="48" t="n">
        <f aca="false">N10*(VLOOKUP(O10,tab_fator[],3,0))</f>
        <v>2.2E+074</v>
      </c>
      <c r="Q10" s="46" t="n">
        <v>252</v>
      </c>
      <c r="R10" s="47" t="s">
        <v>53</v>
      </c>
      <c r="S10" s="48" t="n">
        <f aca="false">Q10*(VLOOKUP(R10,tab_fator[],3,0))</f>
        <v>2.52E+074</v>
      </c>
      <c r="T10" s="46" t="n">
        <v>42.9</v>
      </c>
      <c r="U10" s="47" t="s">
        <v>53</v>
      </c>
      <c r="V10" s="46" t="n">
        <f aca="false">T10*(VLOOKUP(U10,tab_fator[],3,0))</f>
        <v>4.29E+073</v>
      </c>
      <c r="W10" s="49" t="n">
        <f aca="false">_xlfn.RANK.EQ(V10,$V$7:$V$11)</f>
        <v>5</v>
      </c>
      <c r="X10" s="50"/>
      <c r="Y10" s="46" t="n">
        <f aca="false">MIN(V10,S10,P10)</f>
        <v>4.29E+073</v>
      </c>
      <c r="Z10" s="48" t="n">
        <f aca="false">MATCH(Y10,M10:V10,0)</f>
        <v>10</v>
      </c>
      <c r="AA10" s="48" t="n">
        <f aca="false">COLUMN($L$1)</f>
        <v>12</v>
      </c>
      <c r="AB10" s="48" t="n">
        <v>2</v>
      </c>
      <c r="AC10" s="48" t="n">
        <f aca="false">Z10+AA10-AB10</f>
        <v>20</v>
      </c>
      <c r="AD10" s="48" t="n">
        <f aca="false">ROW(X10)</f>
        <v>10</v>
      </c>
      <c r="AE10" s="51" t="n">
        <f aca="true" t="array" ref="AE10:AE10">INDIRECT(ADDRESS(AD10,AC10,1,1))</f>
        <v>42.9</v>
      </c>
      <c r="AF10" s="51" t="str">
        <f aca="true" t="array" ref="AF10:AF10">INDIRECT(ADDRESS(AD10,AC10+1,1,1))</f>
        <v>at</v>
      </c>
      <c r="AG10" s="48"/>
      <c r="AH10" s="51" t="str">
        <f aca="false">IF(AND(V10&lt;S10,V10&lt;P10),"Equilibrado","Ver")</f>
        <v>Equilibrado</v>
      </c>
      <c r="AJ10" s="52" t="s">
        <v>52</v>
      </c>
      <c r="AK10" s="53" t="n">
        <v>6</v>
      </c>
      <c r="AL10" s="54" t="n">
        <f aca="false">VLOOKUP(I10,tab_fator[],2,0)-VLOOKUP(AQ10,tab_fator[],2,0)</f>
        <v>11</v>
      </c>
      <c r="AM10" s="50" t="str">
        <f aca="false">IF(AN10+AT10=6,"Equilibrado","Ver")</f>
        <v>Ver</v>
      </c>
      <c r="AN10" s="55" t="n">
        <f aca="false">_xlfn.RANK.EQ(AO10,AO7:AO11)</f>
        <v>5</v>
      </c>
      <c r="AO10" s="50" t="n">
        <f aca="false">AP10*(VLOOKUP(AQ10,tab_fator[],3,0))</f>
        <v>2.53E+074</v>
      </c>
      <c r="AP10" s="50" t="n">
        <f aca="false">'Transformação-Normal'!Q10</f>
        <v>253</v>
      </c>
      <c r="AQ10" s="48" t="str">
        <f aca="false">'Transformação-Normal'!R10</f>
        <v>at</v>
      </c>
      <c r="AR10" s="56" t="n">
        <f aca="false">AO10/SUM(AO7:AO11)</f>
        <v>2.2319065598645E-026</v>
      </c>
      <c r="AS10" s="48"/>
      <c r="AT10" s="57" t="n">
        <f aca="false">_xlfn.RANK.EQ(AU10,$AU$7:$AU$11,1)</f>
        <v>3</v>
      </c>
      <c r="AU10" s="58" t="n">
        <f aca="false">AV10*(VLOOKUP(AW10,tab_fator[],3,0))</f>
        <v>7.6704E+112</v>
      </c>
      <c r="AV10" s="50" t="n">
        <v>76.704</v>
      </c>
      <c r="AW10" s="47" t="s">
        <v>39</v>
      </c>
      <c r="AX10" s="4" t="s">
        <v>40</v>
      </c>
      <c r="BB10" s="66"/>
    </row>
    <row r="11" customFormat="false" ht="12.75" hidden="false" customHeight="true" outlineLevel="0" collapsed="false">
      <c r="A11" s="1" t="s">
        <v>54</v>
      </c>
      <c r="B11" s="1" t="n">
        <f aca="false">B10+1</f>
        <v>10</v>
      </c>
      <c r="C11" s="2" t="n">
        <f aca="false">C10*1000</f>
        <v>1E+027</v>
      </c>
      <c r="D11" s="8" t="n">
        <f aca="false">LEN(TEXT(C11,0))</f>
        <v>28</v>
      </c>
      <c r="E11" s="25"/>
      <c r="F11" s="67" t="s">
        <v>55</v>
      </c>
      <c r="G11" s="67" t="str">
        <f aca="false">_xlfn.XLOOKUP(1,AT17:AT21,AJ17:AJ21,"Erro",0,1)</f>
        <v>Seletina</v>
      </c>
      <c r="H11" s="68" t="n">
        <f aca="false">VLOOKUP(G11,$AJ$7:$AW$82,13,0)</f>
        <v>1.44</v>
      </c>
      <c r="I11" s="69" t="str">
        <f aca="false">VLOOKUP(G11,$AJ$7:$AW$82,14,0)</f>
        <v>bd</v>
      </c>
      <c r="J11" s="70" t="str">
        <f aca="false">_xlfn.CONCAT(INT(((((VLOOKUP(1,$AT$17:$AW$21,3,0)*(VLOOKUP(((VLOOKUP((VLOOKUP(1,$AT$17:$AW$21,4,0)),tab_fator[],2,0))-(VLOOKUP(AQ22,tab_fator[],2,0))+1),tab_fator[[#All],[Cont]:[Valor]],2,0)))/AP22)/60/60/24)))," Dias e ",TEXT(((((VLOOKUP(1,$AT$17:$AW$21,3,0)*(VLOOKUP(((VLOOKUP((VLOOKUP(1,$AT$17:$AW$21,4,0)),tab_fator[],2,0))-(VLOOKUP(AQ22,tab_fator[],2,0))+1),tab_fator[[#All],[Cont]:[Valor]],2,0)))/AP22)/60/60/24)),"hh:mm"))</f>
        <v>102 Dias e 21:08</v>
      </c>
      <c r="K11" s="70" t="n">
        <f aca="false">(VLOOKUP(AQ22,tab_fator[],2,0)-(VLOOKUP(VLOOKUP(1,$AT$17:$AW$21,4,0),tab_fator[],2,0)))*-1</f>
        <v>3</v>
      </c>
      <c r="L11" s="65"/>
      <c r="M11" s="71" t="s">
        <v>56</v>
      </c>
      <c r="N11" s="72" t="n">
        <v>31.3</v>
      </c>
      <c r="O11" s="73" t="s">
        <v>38</v>
      </c>
      <c r="P11" s="74" t="n">
        <f aca="false">N11*(VLOOKUP(O11,tab_fator[],3,0))</f>
        <v>3.13E+097</v>
      </c>
      <c r="Q11" s="72" t="n">
        <v>15.1</v>
      </c>
      <c r="R11" s="73" t="s">
        <v>38</v>
      </c>
      <c r="S11" s="74" t="n">
        <f aca="false">Q11*(VLOOKUP(R11,tab_fator[],3,0))</f>
        <v>1.51E+097</v>
      </c>
      <c r="T11" s="72" t="n">
        <v>14.5</v>
      </c>
      <c r="U11" s="73" t="s">
        <v>38</v>
      </c>
      <c r="V11" s="72" t="n">
        <f aca="false">T11*(VLOOKUP(U11,tab_fator[],3,0))</f>
        <v>1.45E+097</v>
      </c>
      <c r="W11" s="75" t="n">
        <f aca="false">_xlfn.RANK.EQ(V11,$V$7:$V$11)</f>
        <v>4</v>
      </c>
      <c r="X11" s="74"/>
      <c r="Y11" s="72" t="n">
        <f aca="false">MIN(V11,S11,P11)</f>
        <v>1.45E+097</v>
      </c>
      <c r="Z11" s="74" t="n">
        <f aca="false">MATCH(Y11,M11:V11,0)</f>
        <v>10</v>
      </c>
      <c r="AA11" s="74" t="n">
        <f aca="false">COLUMN($L$1)</f>
        <v>12</v>
      </c>
      <c r="AB11" s="74" t="n">
        <v>2</v>
      </c>
      <c r="AC11" s="74" t="n">
        <f aca="false">Z11+AA11-AB11</f>
        <v>20</v>
      </c>
      <c r="AD11" s="74" t="n">
        <f aca="false">ROW(X11)</f>
        <v>11</v>
      </c>
      <c r="AE11" s="76" t="n">
        <f aca="true" t="array" ref="AE11:AE11">INDIRECT(ADDRESS(AD11,AC11,1,1))</f>
        <v>14.5</v>
      </c>
      <c r="AF11" s="76" t="str">
        <f aca="true" t="array" ref="AF11:AF11">INDIRECT(ADDRESS(AD11,AC11+1,1,1))</f>
        <v>bb</v>
      </c>
      <c r="AG11" s="74"/>
      <c r="AH11" s="76" t="str">
        <f aca="false">IF(AND(V11&lt;S11,V11&lt;P11),"Equilibrado","Ver")</f>
        <v>Equilibrado</v>
      </c>
      <c r="AJ11" s="40" t="s">
        <v>56</v>
      </c>
      <c r="AK11" s="36" t="n">
        <v>5</v>
      </c>
      <c r="AL11" s="39" t="n">
        <f aca="false">VLOOKUP(I10,tab_fator[],2,0)-VLOOKUP(AQ11,tab_fator[],2,0)</f>
        <v>3</v>
      </c>
      <c r="AM11" s="5" t="str">
        <f aca="false">IF(AN11+AT11=6,"Equilibrado","Ver")</f>
        <v>Ver</v>
      </c>
      <c r="AN11" s="41" t="n">
        <f aca="false">_xlfn.RANK.EQ(AO11,AO7:AO11)</f>
        <v>4</v>
      </c>
      <c r="AO11" s="5" t="n">
        <f aca="false">AP11*(VLOOKUP(AQ11,tab_fator[],3,0))</f>
        <v>8.56E+097</v>
      </c>
      <c r="AP11" s="5" t="n">
        <f aca="false">'Transformação-Normal'!Q11</f>
        <v>85.6</v>
      </c>
      <c r="AQ11" s="3" t="str">
        <f aca="false">'Transformação-Normal'!R11</f>
        <v>bb</v>
      </c>
      <c r="AR11" s="42" t="n">
        <f aca="false">AO11/SUM(AO7:AO11)</f>
        <v>0.00755143089029253</v>
      </c>
      <c r="AS11" s="3"/>
      <c r="AT11" s="11" t="n">
        <f aca="false">_xlfn.RANK.EQ(AU11,$AU$7:$AU$11,1)</f>
        <v>1</v>
      </c>
      <c r="AU11" s="44" t="n">
        <f aca="false">AV11*(VLOOKUP(AW11,tab_fator[],3,0))</f>
        <v>7.71E+105</v>
      </c>
      <c r="AV11" s="5" t="n">
        <v>7.71</v>
      </c>
      <c r="AW11" s="37" t="s">
        <v>57</v>
      </c>
      <c r="AX11" s="65"/>
    </row>
    <row r="12" customFormat="false" ht="12.75" hidden="false" customHeight="true" outlineLevel="0" collapsed="false">
      <c r="A12" s="1" t="s">
        <v>58</v>
      </c>
      <c r="B12" s="1" t="n">
        <f aca="false">B11+1</f>
        <v>11</v>
      </c>
      <c r="C12" s="2" t="n">
        <f aca="false">C11*1000</f>
        <v>1E+030</v>
      </c>
      <c r="D12" s="8" t="n">
        <f aca="false">LEN(TEXT(C12,0))</f>
        <v>31</v>
      </c>
      <c r="E12" s="25"/>
      <c r="F12" s="77" t="s">
        <v>59</v>
      </c>
      <c r="G12" s="77" t="str">
        <f aca="false">_xlfn.XLOOKUP(1,AT27:AT31,AJ27:AJ31,"Erro",0,1)</f>
        <v>Ambar</v>
      </c>
      <c r="H12" s="78" t="n">
        <f aca="false">VLOOKUP(G12,$AJ$7:$AW$82,13,0)</f>
        <v>2.81</v>
      </c>
      <c r="I12" s="79" t="str">
        <f aca="false">VLOOKUP(G12,$AJ$7:$AW$82,14,0)</f>
        <v>bc</v>
      </c>
      <c r="J12" s="80" t="str">
        <f aca="false">_xlfn.CONCAT(INT(((((VLOOKUP(1,$AT$27:$AW$31,3,0)*(VLOOKUP(((VLOOKUP((VLOOKUP(1,$AT$27:$AW$31,4,0)),tab_fator[],2,0))-(VLOOKUP(AQ32,tab_fator[],2,0))+1),tab_fator[[#All],[Cont]:[Valor]],2,0)))/AP32)/60/60/24)))," Dias e ",TEXT(((((VLOOKUP(1,$AT$27:$AW$31,3,0)*(VLOOKUP(((VLOOKUP((VLOOKUP(1,$AT$27:$AW$31,4,0)),tab_fator[],2,0))-(VLOOKUP(AQ32,tab_fator[],2,0))+1),tab_fator[[#All],[Cont]:[Valor]],2,0)))/AP32)/60/60/24)),"hh:mm"))</f>
        <v>256 Dias e 02:06</v>
      </c>
      <c r="K12" s="80" t="n">
        <f aca="false">(VLOOKUP(AQ32,tab_fator[],2,0)-(VLOOKUP(VLOOKUP(1,$AT$27:$AW$31,4,0),tab_fator[],2,0)))*-1</f>
        <v>3</v>
      </c>
      <c r="L12" s="81"/>
      <c r="T12" s="5" t="s">
        <v>60</v>
      </c>
      <c r="AI12" s="65"/>
      <c r="AJ12" s="82" t="s">
        <v>61</v>
      </c>
      <c r="AK12" s="83" t="str">
        <f aca="false">CONCATENATE(SUM(AK7:AK11)," / ",6*5)</f>
        <v>29 / 30</v>
      </c>
      <c r="AL12" s="83"/>
      <c r="AM12" s="83"/>
      <c r="AN12" s="84"/>
      <c r="AO12" s="84"/>
      <c r="AP12" s="85" t="str">
        <f aca="false">IF(AS7/AS9&lt;10,(TEXT(AS7/AS9,"#,##")),IF(AS7/AS9&lt;100,TEXT(AS7/AS9,"##,#"),TEXT(AS7/AS9,"###")))</f>
        <v>11,3</v>
      </c>
      <c r="AQ12" s="84" t="str">
        <f aca="false">AS8</f>
        <v>bc</v>
      </c>
      <c r="AR12" s="86"/>
      <c r="AS12" s="84"/>
      <c r="AT12" s="87" t="str">
        <f aca="false">IF((AP12*VLOOKUP(AQ12,tab_fator[],3,0))&gt;(_xlfn.XLOOKUP(1,AT7:AT11,AV7:AV11,"",0,1)*VLOOKUP((_xlfn.XLOOKUP(1,AT7:AT11,AW7:AW11,"",0,1)),tab_fator[],3,0)),"Pronto","Esperar")</f>
        <v>Esperar</v>
      </c>
      <c r="AU12" s="87"/>
      <c r="AV12" s="87"/>
      <c r="AW12" s="87"/>
    </row>
    <row r="13" customFormat="false" ht="12.75" hidden="false" customHeight="true" outlineLevel="0" collapsed="false">
      <c r="A13" s="1" t="s">
        <v>62</v>
      </c>
      <c r="B13" s="1" t="n">
        <f aca="false">B12+1</f>
        <v>12</v>
      </c>
      <c r="C13" s="2" t="n">
        <f aca="false">C12*1000</f>
        <v>1E+033</v>
      </c>
      <c r="D13" s="8" t="n">
        <f aca="false">LEN(TEXT(C13,0))</f>
        <v>34</v>
      </c>
      <c r="E13" s="25"/>
      <c r="F13" s="88" t="s">
        <v>63</v>
      </c>
      <c r="G13" s="88" t="str">
        <f aca="false">_xlfn.XLOOKUP(1,AT37:AT41,AJ37:AJ41,"Erro",0,1)</f>
        <v>Realgar</v>
      </c>
      <c r="H13" s="89" t="n">
        <f aca="false">VLOOKUP(G13,$AJ$7:$AW$82,13,0)</f>
        <v>15.1</v>
      </c>
      <c r="I13" s="90" t="str">
        <f aca="false">VLOOKUP(G13,$AJ$7:$AW$82,14,0)</f>
        <v>ay</v>
      </c>
      <c r="J13" s="91" t="str">
        <f aca="false">_xlfn.CONCAT(INT(((((VLOOKUP(1,$AT$37:$AW$41,3,0)*(VLOOKUP(((VLOOKUP((VLOOKUP(1,$AT$37:$AW$41,4,0)),tab_fator[],2,0))-(VLOOKUP(AQ42,tab_fator[],2,0))+1),tab_fator[[#All],[Cont]:[Valor]],2,0)))/AP42)/60/60/24)))," Dias e ",TEXT(((((VLOOKUP(1,$AT$37:$AW$41,3,0)*(VLOOKUP(((VLOOKUP((VLOOKUP(1,$AT$37:$AW$41,4,0)),tab_fator[],2,0))-(VLOOKUP(AQ42,tab_fator[],2,0))+1),tab_fator[[#All],[Cont]:[Valor]],2,0)))/AP42)/60/60/24)),"hh:mm"))</f>
        <v>12 Dias e 07:23</v>
      </c>
      <c r="K13" s="91" t="n">
        <f aca="false">(VLOOKUP(AQ42,tab_fator[],2,0)-(VLOOKUP(VLOOKUP(1,$AT$37:$AW$41,4,0),tab_fator[],2,0)))*-1</f>
        <v>2</v>
      </c>
      <c r="P13" s="5"/>
      <c r="S13" s="5"/>
      <c r="V13" s="5"/>
      <c r="X13" s="5"/>
      <c r="AG13" s="5"/>
      <c r="AI13" s="65"/>
      <c r="AJ13" s="65"/>
      <c r="AK13" s="92"/>
      <c r="AL13" s="92"/>
      <c r="AM13" s="92"/>
      <c r="AN13" s="92"/>
      <c r="AO13" s="92"/>
      <c r="AP13" s="92"/>
      <c r="AQ13" s="92"/>
      <c r="AR13" s="93"/>
      <c r="AS13" s="92"/>
      <c r="AT13" s="94"/>
      <c r="AU13" s="92"/>
      <c r="AV13" s="92"/>
      <c r="AW13" s="92"/>
    </row>
    <row r="14" customFormat="false" ht="12.75" hidden="false" customHeight="true" outlineLevel="0" collapsed="false">
      <c r="A14" s="1" t="s">
        <v>64</v>
      </c>
      <c r="B14" s="1" t="n">
        <f aca="false">B13+1</f>
        <v>13</v>
      </c>
      <c r="C14" s="2" t="n">
        <f aca="false">C13*1000</f>
        <v>1E+036</v>
      </c>
      <c r="D14" s="8" t="n">
        <f aca="false">LEN(TEXT(C14,0))</f>
        <v>37</v>
      </c>
      <c r="E14" s="25"/>
      <c r="F14" s="95" t="s">
        <v>65</v>
      </c>
      <c r="G14" s="95" t="str">
        <f aca="false">_xlfn.XLOOKUP(1,AT47:AT51,AJ47:AJ51,"Erro",0,1)</f>
        <v>Fluorita</v>
      </c>
      <c r="H14" s="96" t="n">
        <f aca="false">VLOOKUP(G14,$AJ$7:$AW$82,13,0)</f>
        <v>11.9</v>
      </c>
      <c r="I14" s="97" t="str">
        <f aca="false">VLOOKUP(G14,$AJ$7:$AW$82,14,0)</f>
        <v>ax</v>
      </c>
      <c r="J14" s="98" t="str">
        <f aca="false">_xlfn.CONCAT(INT(((((VLOOKUP(1,$AT$47:$AW$51,3,0)*(VLOOKUP(((VLOOKUP((VLOOKUP(1,$AT$47:$AW$51,4,0)),tab_fator[],2,0))-(VLOOKUP(AQ52,tab_fator[],2,0))+1),tab_fator[[#All],[Cont]:[Valor]],2,0)))/AP52)/60/60/24)))," Dias e ",TEXT(((((VLOOKUP(1,$AT$47:$AW$51,3,0)*(VLOOKUP(((VLOOKUP((VLOOKUP(1,$AT$47:$AW$51,4,0)),tab_fator[],2,0))-(VLOOKUP(AQ52,tab_fator[],2,0))+1),tab_fator[[#All],[Cont]:[Valor]],2,0)))/AP52)/60/60/24)),"hh:mm"))</f>
        <v>62 Dias e 07:43</v>
      </c>
      <c r="K14" s="98" t="n">
        <f aca="false">(VLOOKUP(AQ52,tab_fator[],2,0)-(VLOOKUP(VLOOKUP(1,$AT$47:$AW$51,4,0),tab_fator[],2,0)))*-1</f>
        <v>2</v>
      </c>
      <c r="AJ14" s="99" t="s">
        <v>66</v>
      </c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</row>
    <row r="15" customFormat="false" ht="12.75" hidden="false" customHeight="true" outlineLevel="0" collapsed="false">
      <c r="A15" s="1" t="s">
        <v>67</v>
      </c>
      <c r="B15" s="1" t="n">
        <f aca="false">B14+1</f>
        <v>14</v>
      </c>
      <c r="C15" s="2" t="n">
        <f aca="false">C14*1000</f>
        <v>1E+039</v>
      </c>
      <c r="D15" s="8" t="n">
        <f aca="false">LEN(TEXT(C15,0))</f>
        <v>40</v>
      </c>
      <c r="E15" s="25"/>
      <c r="F15" s="100" t="s">
        <v>68</v>
      </c>
      <c r="G15" s="100" t="str">
        <f aca="false">_xlfn.XLOOKUP(1,AT57:AT61,AJ57:AJ61,"Erro",0,1)</f>
        <v>Pérola</v>
      </c>
      <c r="H15" s="101" t="n">
        <f aca="false">VLOOKUP(G15,$AJ$7:$AW$82,13,0)</f>
        <v>432</v>
      </c>
      <c r="I15" s="102" t="str">
        <f aca="false">VLOOKUP(G15,$AJ$7:$AW$82,14,0)</f>
        <v>aw</v>
      </c>
      <c r="J15" s="103" t="str">
        <f aca="false">_xlfn.CONCAT(INT(((((VLOOKUP(1,$AT$57:$AW$61,3,0)*(VLOOKUP(((VLOOKUP((VLOOKUP(1,$AT$57:$AW$61,4,0)),tab_fator[],2,0))-(VLOOKUP(AQ62,tab_fator[],2,0))+1),tab_fator[[#All],[Cont]:[Valor]],2,0)))/AP62)/60/60/24)))," Dias e ",TEXT(((((VLOOKUP(1,$AT$57:$AW$61,3,0)*(VLOOKUP(((VLOOKUP((VLOOKUP(1,$AT$57:$AW$61,4,0)),tab_fator[],2,0))-(VLOOKUP(AQ62,tab_fator[],2,0))+1),tab_fator[[#All],[Cont]:[Valor]],2,0)))/AP62)/60/60/24)),"hh:mm"))</f>
        <v>54 Dias e 12:36</v>
      </c>
      <c r="K15" s="103" t="n">
        <f aca="false">(VLOOKUP(AQ62,tab_fator[],2,0)-(VLOOKUP(VLOOKUP(1,$AT$57:$AW$61,4,0),tab_fator[],2,0)))*-1</f>
        <v>2</v>
      </c>
      <c r="M15" s="104" t="s">
        <v>66</v>
      </c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J15" s="105" t="s">
        <v>12</v>
      </c>
      <c r="AK15" s="106" t="s">
        <v>69</v>
      </c>
      <c r="AL15" s="107" t="s">
        <v>14</v>
      </c>
      <c r="AM15" s="108" t="s">
        <v>15</v>
      </c>
      <c r="AN15" s="109" t="s">
        <v>16</v>
      </c>
      <c r="AO15" s="109"/>
      <c r="AP15" s="109"/>
      <c r="AQ15" s="109"/>
      <c r="AR15" s="109"/>
      <c r="AS15" s="110"/>
      <c r="AT15" s="109" t="s">
        <v>17</v>
      </c>
      <c r="AU15" s="109"/>
      <c r="AV15" s="109"/>
      <c r="AW15" s="109"/>
    </row>
    <row r="16" customFormat="false" ht="12.75" hidden="false" customHeight="true" outlineLevel="0" collapsed="false">
      <c r="A16" s="1" t="s">
        <v>70</v>
      </c>
      <c r="B16" s="1" t="n">
        <f aca="false">B15+1</f>
        <v>15</v>
      </c>
      <c r="C16" s="2" t="n">
        <f aca="false">C15*1000</f>
        <v>1E+042</v>
      </c>
      <c r="D16" s="8" t="n">
        <f aca="false">LEN(TEXT(C16,0))</f>
        <v>43</v>
      </c>
      <c r="E16" s="25"/>
      <c r="F16" s="111" t="s">
        <v>71</v>
      </c>
      <c r="G16" s="111" t="str">
        <f aca="false">_xlfn.XLOOKUP(1,AT67:AT71,AJ67:AJ71,"Erro",0,1)</f>
        <v>Crisoberílio</v>
      </c>
      <c r="H16" s="112" t="n">
        <f aca="false">VLOOKUP(G16,$AJ$7:$AW$82,13,0)</f>
        <v>55.1</v>
      </c>
      <c r="I16" s="113" t="str">
        <f aca="false">VLOOKUP(G16,$AJ$7:$AW$82,14,0)</f>
        <v>ax</v>
      </c>
      <c r="J16" s="114" t="str">
        <f aca="false">_xlfn.CONCAT(INT(((((VLOOKUP(1,$AT$67:$AW$71,3,0)*(VLOOKUP(((VLOOKUP((VLOOKUP(1,$AT$67:$AW$71,4,0)),tab_fator[],2,0))-(VLOOKUP(AQ72,tab_fator[],2,0))+1),tab_fator[[#All],[Cont]:[Valor]],2,0)))/AP72)/60/60/24)))," Dias e ",TEXT(((((VLOOKUP(1,$AT$67:$AW$71,3,0)*(VLOOKUP(((VLOOKUP((VLOOKUP(1,$AT$67:$AW$71,4,0)),tab_fator[],2,0))-(VLOOKUP(AQ72,tab_fator[],2,0))+1),tab_fator[[#All],[Cont]:[Valor]],2,0)))/AP72)/60/60/24)),"hh:mm"))</f>
        <v>53 Dias e 14:10</v>
      </c>
      <c r="K16" s="114" t="n">
        <f aca="false">(VLOOKUP(AQ72,tab_fator[],2,0)-(VLOOKUP(VLOOKUP(1,$AT$67:$AW$71,4,0),tab_fator[],2,0)))*-1</f>
        <v>2</v>
      </c>
      <c r="M16" s="115" t="s">
        <v>12</v>
      </c>
      <c r="N16" s="115" t="s">
        <v>20</v>
      </c>
      <c r="O16" s="115"/>
      <c r="P16" s="116" t="s">
        <v>21</v>
      </c>
      <c r="Q16" s="115" t="s">
        <v>22</v>
      </c>
      <c r="R16" s="115"/>
      <c r="S16" s="116" t="s">
        <v>23</v>
      </c>
      <c r="T16" s="115" t="s">
        <v>24</v>
      </c>
      <c r="U16" s="115"/>
      <c r="V16" s="117" t="s">
        <v>25</v>
      </c>
      <c r="W16" s="118" t="s">
        <v>26</v>
      </c>
      <c r="X16" s="119"/>
      <c r="Y16" s="118" t="s">
        <v>2</v>
      </c>
      <c r="Z16" s="120" t="s">
        <v>27</v>
      </c>
      <c r="AA16" s="120" t="s">
        <v>28</v>
      </c>
      <c r="AB16" s="120" t="s">
        <v>29</v>
      </c>
      <c r="AC16" s="120" t="s">
        <v>30</v>
      </c>
      <c r="AD16" s="120" t="s">
        <v>31</v>
      </c>
      <c r="AE16" s="118" t="s">
        <v>32</v>
      </c>
      <c r="AF16" s="118"/>
      <c r="AG16" s="117"/>
      <c r="AH16" s="118" t="s">
        <v>15</v>
      </c>
      <c r="AJ16" s="105"/>
      <c r="AK16" s="115" t="s">
        <v>9</v>
      </c>
      <c r="AL16" s="107"/>
      <c r="AM16" s="108"/>
      <c r="AN16" s="121" t="s">
        <v>26</v>
      </c>
      <c r="AO16" s="121"/>
      <c r="AP16" s="121" t="s">
        <v>2</v>
      </c>
      <c r="AQ16" s="121" t="s">
        <v>33</v>
      </c>
      <c r="AR16" s="122" t="s">
        <v>34</v>
      </c>
      <c r="AS16" s="121"/>
      <c r="AT16" s="121" t="s">
        <v>26</v>
      </c>
      <c r="AU16" s="121" t="s">
        <v>35</v>
      </c>
      <c r="AV16" s="121" t="s">
        <v>2</v>
      </c>
      <c r="AW16" s="120" t="s">
        <v>33</v>
      </c>
    </row>
    <row r="17" customFormat="false" ht="12.75" hidden="false" customHeight="true" outlineLevel="0" collapsed="false">
      <c r="A17" s="1" t="s">
        <v>72</v>
      </c>
      <c r="B17" s="1" t="n">
        <f aca="false">B16+1</f>
        <v>16</v>
      </c>
      <c r="C17" s="2" t="n">
        <f aca="false">C16*1000</f>
        <v>1E+045</v>
      </c>
      <c r="D17" s="8" t="n">
        <f aca="false">LEN(TEXT(C17,0))</f>
        <v>46</v>
      </c>
      <c r="E17" s="25"/>
      <c r="F17" s="123" t="s">
        <v>73</v>
      </c>
      <c r="G17" s="123" t="str">
        <f aca="false">_xlfn.XLOOKUP(1,AT77:AT81,AJ77:AJ81,"Erro",0,1)</f>
        <v>Sereias</v>
      </c>
      <c r="H17" s="124" t="n">
        <f aca="false">VLOOKUP(G17,$AJ$7:$AW$82,13,0)</f>
        <v>41.6</v>
      </c>
      <c r="I17" s="125" t="str">
        <f aca="false">VLOOKUP(G17,$AJ$7:$AW$82,14,0)</f>
        <v>at</v>
      </c>
      <c r="J17" s="126" t="str">
        <f aca="false">_xlfn.CONCAT(INT(((((VLOOKUP(1,$AT$77:$AW$81,3,0)*(VLOOKUP(((VLOOKUP((VLOOKUP(1,$AT$77:$AW$81,4,0)),tab_fator[],2,0))-(VLOOKUP(AQ82,tab_fator[],2,0))+1),tab_fator[[#All],[Cont]:[Valor]],2,0)))/AP82)/60/60/24)))," Dias e ",TEXT(((((VLOOKUP(1,$AT$77:$AW$81,3,0)*(VLOOKUP(((VLOOKUP((VLOOKUP(1,$AT$77:$AW$81,4,0)),tab_fator[],2,0))-(VLOOKUP(AQ82,tab_fator[],2,0))+1),tab_fator[[#All],[Cont]:[Valor]],2,0)))/AP82)/60/60/24)),"hh:mm"))</f>
        <v>130 Dias e 11:35</v>
      </c>
      <c r="K17" s="126" t="n">
        <f aca="false">(VLOOKUP(AQ82,tab_fator[],2,0)-(VLOOKUP(VLOOKUP(1,$AT$77:$AW$81,4,0),tab_fator[],2,0)))*-1</f>
        <v>2</v>
      </c>
      <c r="M17" s="36" t="s">
        <v>74</v>
      </c>
      <c r="N17" s="36" t="n">
        <v>48.1</v>
      </c>
      <c r="O17" s="37" t="s">
        <v>75</v>
      </c>
      <c r="P17" s="5" t="n">
        <f aca="false">N17*(VLOOKUP(O17,tab_fator[],3,0))</f>
        <v>4.81E+091</v>
      </c>
      <c r="Q17" s="36" t="n">
        <v>51.8</v>
      </c>
      <c r="R17" s="37" t="s">
        <v>75</v>
      </c>
      <c r="S17" s="5" t="n">
        <f aca="false">Q17*(VLOOKUP(R17,tab_fator[],3,0))</f>
        <v>5.18E+091</v>
      </c>
      <c r="T17" s="36" t="n">
        <v>46</v>
      </c>
      <c r="U17" s="37" t="s">
        <v>75</v>
      </c>
      <c r="V17" s="37" t="n">
        <f aca="false">T17*(VLOOKUP(U17,tab_fator[],3,0))</f>
        <v>4.6E+091</v>
      </c>
      <c r="W17" s="39" t="n">
        <f aca="false">_xlfn.RANK.EQ(V17,$V17:$V21)</f>
        <v>5</v>
      </c>
      <c r="X17" s="37"/>
      <c r="Y17" s="37" t="n">
        <f aca="false">MIN(V17,S17,P17)</f>
        <v>4.6E+091</v>
      </c>
      <c r="Z17" s="37" t="n">
        <f aca="false">MATCH(Y17,M17:V17,0)</f>
        <v>10</v>
      </c>
      <c r="AA17" s="37" t="n">
        <f aca="false">COLUMN($L$1)</f>
        <v>12</v>
      </c>
      <c r="AB17" s="37" t="n">
        <v>2</v>
      </c>
      <c r="AC17" s="37" t="n">
        <f aca="false">Z17+AA17-AB17</f>
        <v>20</v>
      </c>
      <c r="AD17" s="37" t="n">
        <f aca="false">ROW(X17)</f>
        <v>17</v>
      </c>
      <c r="AE17" s="39" t="n">
        <f aca="true" t="array" ref="AE17:AE17">INDIRECT(ADDRESS(AD17,AC17,1,1))</f>
        <v>46</v>
      </c>
      <c r="AF17" s="37" t="str">
        <f aca="true" t="array" ref="AF17:AF17">INDIRECT(ADDRESS(AD17,AC17+1,1,1))</f>
        <v>az</v>
      </c>
      <c r="AG17" s="37"/>
      <c r="AH17" s="39" t="str">
        <f aca="false">IF(AND(V17&lt;S17,V17&lt;P17),"Equilibrado","Ver")</f>
        <v>Equilibrado</v>
      </c>
      <c r="AJ17" s="40" t="s">
        <v>74</v>
      </c>
      <c r="AK17" s="36" t="n">
        <v>5</v>
      </c>
      <c r="AL17" s="39" t="n">
        <f aca="false">VLOOKUP(I11,tab_fator[],2,0)-VLOOKUP(AQ17,tab_fator[],2,0)</f>
        <v>4</v>
      </c>
      <c r="AM17" s="5" t="str">
        <f aca="false">IF(AN17+AT17=6,"Equilibrado","Ver")</f>
        <v>Equilibrado</v>
      </c>
      <c r="AN17" s="36" t="n">
        <f aca="false">_xlfn.RANK.EQ(AO17,AO17:AO21)</f>
        <v>5</v>
      </c>
      <c r="AO17" s="5" t="n">
        <f aca="false">AP17*(VLOOKUP(AQ17,tab_fator[],3,0))</f>
        <v>2.71E+092</v>
      </c>
      <c r="AP17" s="5" t="n">
        <f aca="false">'Transformação-Normal'!Q14</f>
        <v>271</v>
      </c>
      <c r="AQ17" s="5" t="str">
        <f aca="false">'Transformação-Normal'!R14</f>
        <v>az</v>
      </c>
      <c r="AR17" s="127" t="n">
        <f aca="false">AO17/SUM(AO17:AO21)</f>
        <v>0.00166932567866405</v>
      </c>
      <c r="AS17" s="128" t="n">
        <f aca="false">(AP17*VLOOKUP(AQ17,tab_fator[],3,0))+
(AP18*VLOOKUP(AQ18,tab_fator[],3,0))+
(AP19*VLOOKUP(AQ19,tab_fator[],3,0))+
(AP20*VLOOKUP(AQ20,tab_fator[],3,0))+
(AP21*VLOOKUP(AQ21,tab_fator[],3,0))</f>
        <v>1.62341E+095</v>
      </c>
      <c r="AT17" s="11" t="n">
        <f aca="false">_xlfn.RANK.EQ(AU17,$AU$17:$AU$21,1)</f>
        <v>1</v>
      </c>
      <c r="AU17" s="5" t="n">
        <f aca="false">AV17*(VLOOKUP(AW17,tab_fator[],3,0))</f>
        <v>1.44E+102</v>
      </c>
      <c r="AV17" s="5" t="n">
        <v>1.44</v>
      </c>
      <c r="AW17" s="37" t="s">
        <v>76</v>
      </c>
    </row>
    <row r="18" customFormat="false" ht="12.75" hidden="false" customHeight="true" outlineLevel="0" collapsed="false">
      <c r="A18" s="1" t="s">
        <v>77</v>
      </c>
      <c r="B18" s="1" t="n">
        <f aca="false">B17+1</f>
        <v>17</v>
      </c>
      <c r="C18" s="2" t="n">
        <f aca="false">C17*1000</f>
        <v>1E+048</v>
      </c>
      <c r="D18" s="8" t="n">
        <f aca="false">LEN(TEXT(C18,0))</f>
        <v>49</v>
      </c>
      <c r="E18" s="25"/>
      <c r="F18" s="8"/>
      <c r="G18" s="8"/>
      <c r="H18" s="16"/>
      <c r="I18" s="16"/>
      <c r="J18" s="16"/>
      <c r="K18" s="16"/>
      <c r="M18" s="129" t="s">
        <v>78</v>
      </c>
      <c r="N18" s="129" t="n">
        <v>1.13</v>
      </c>
      <c r="O18" s="130" t="s">
        <v>79</v>
      </c>
      <c r="P18" s="131" t="n">
        <f aca="false">N18*(VLOOKUP(O18,tab_fator[],3,0))</f>
        <v>1.13E+093</v>
      </c>
      <c r="Q18" s="129" t="n">
        <v>1.13</v>
      </c>
      <c r="R18" s="130" t="s">
        <v>79</v>
      </c>
      <c r="S18" s="129" t="n">
        <f aca="false">Q18*(VLOOKUP(R18,tab_fator[],3,0))</f>
        <v>1.13E+093</v>
      </c>
      <c r="T18" s="129" t="n">
        <v>1.08</v>
      </c>
      <c r="U18" s="130" t="s">
        <v>79</v>
      </c>
      <c r="V18" s="130" t="n">
        <f aca="false">T18*(VLOOKUP(U18,tab_fator[],3,0))</f>
        <v>1.08E+093</v>
      </c>
      <c r="W18" s="132" t="n">
        <f aca="false">_xlfn.RANK.EQ(V18,$V17:$V21)</f>
        <v>4</v>
      </c>
      <c r="X18" s="133"/>
      <c r="Y18" s="130" t="n">
        <f aca="false">MIN(V18,S18,P18)</f>
        <v>1.08E+093</v>
      </c>
      <c r="Z18" s="130" t="n">
        <f aca="false">MATCH(Y18,M18:V18,0)</f>
        <v>10</v>
      </c>
      <c r="AA18" s="130" t="n">
        <f aca="false">COLUMN($L$1)</f>
        <v>12</v>
      </c>
      <c r="AB18" s="130" t="n">
        <v>2</v>
      </c>
      <c r="AC18" s="130" t="n">
        <f aca="false">Z18+AA18-AB18</f>
        <v>20</v>
      </c>
      <c r="AD18" s="130" t="n">
        <f aca="false">ROW(X18)</f>
        <v>18</v>
      </c>
      <c r="AE18" s="132" t="n">
        <f aca="true" t="array" ref="AE18:AE18">INDIRECT(ADDRESS(AD18,AC18,1,1))</f>
        <v>1.08</v>
      </c>
      <c r="AF18" s="130" t="str">
        <f aca="true" t="array" ref="AF18:AF18">INDIRECT(ADDRESS(AD18,AC18+1,1,1))</f>
        <v>ba</v>
      </c>
      <c r="AG18" s="130"/>
      <c r="AH18" s="132" t="str">
        <f aca="false">IF(AND(V18&lt;S18,V18&lt;P18),"Equilibrado","Ver")</f>
        <v>Equilibrado</v>
      </c>
      <c r="AJ18" s="134" t="s">
        <v>78</v>
      </c>
      <c r="AK18" s="129" t="n">
        <v>5</v>
      </c>
      <c r="AL18" s="135" t="n">
        <f aca="false">VLOOKUP(I11,tab_fator[],2,0)-VLOOKUP(AQ18,tab_fator[],2,0)</f>
        <v>3</v>
      </c>
      <c r="AM18" s="136" t="str">
        <f aca="false">IF(AN18+AT18=6,"Equilibrado","Ver")</f>
        <v>Equilibrado</v>
      </c>
      <c r="AN18" s="129" t="n">
        <f aca="false">_xlfn.RANK.EQ(AO18,AO17:AO21)</f>
        <v>4</v>
      </c>
      <c r="AO18" s="136" t="n">
        <f aca="false">AP18*(VLOOKUP(AQ18,tab_fator[],3,0))</f>
        <v>6.37E+093</v>
      </c>
      <c r="AP18" s="136" t="n">
        <f aca="false">'Transformação-Normal'!Q15</f>
        <v>6.37</v>
      </c>
      <c r="AQ18" s="136" t="str">
        <f aca="false">'Transformação-Normal'!R15</f>
        <v>ba</v>
      </c>
      <c r="AR18" s="137" t="n">
        <f aca="false">AO18/SUM(AO17:AO21)</f>
        <v>0.0392383932586346</v>
      </c>
      <c r="AS18" s="136" t="str">
        <f aca="false">_xlfn.XLOOKUP((LEN(TEXT(AS17,0))),tab_fator[Dgts],tab_fator[Fator],"errro",-1,1)</f>
        <v>ba</v>
      </c>
      <c r="AT18" s="138" t="n">
        <f aca="false">_xlfn.RANK.EQ(AU18,$AU$17:$AU$21,1)</f>
        <v>2</v>
      </c>
      <c r="AU18" s="136" t="n">
        <f aca="false">AV18*(VLOOKUP(AW18,tab_fator[],3,0))</f>
        <v>4.02E+103</v>
      </c>
      <c r="AV18" s="136" t="n">
        <v>40.2</v>
      </c>
      <c r="AW18" s="130" t="s">
        <v>76</v>
      </c>
    </row>
    <row r="19" customFormat="false" ht="12.75" hidden="false" customHeight="true" outlineLevel="0" collapsed="false">
      <c r="A19" s="1" t="s">
        <v>80</v>
      </c>
      <c r="B19" s="1" t="n">
        <f aca="false">B18+1</f>
        <v>18</v>
      </c>
      <c r="C19" s="2" t="n">
        <f aca="false">C18*1000</f>
        <v>1E+051</v>
      </c>
      <c r="D19" s="8" t="n">
        <f aca="false">LEN(TEXT(C19,0))</f>
        <v>52</v>
      </c>
      <c r="E19" s="25"/>
      <c r="F19" s="11"/>
      <c r="G19" s="11" t="s">
        <v>81</v>
      </c>
      <c r="H19" s="16" t="s">
        <v>19</v>
      </c>
      <c r="I19" s="16"/>
      <c r="J19" s="16"/>
      <c r="K19" s="16"/>
      <c r="M19" s="36" t="s">
        <v>82</v>
      </c>
      <c r="N19" s="36" t="n">
        <v>2.5</v>
      </c>
      <c r="O19" s="37" t="s">
        <v>79</v>
      </c>
      <c r="P19" s="5" t="n">
        <f aca="false">N19*(VLOOKUP(O19,tab_fator[],3,0))</f>
        <v>2.5E+093</v>
      </c>
      <c r="Q19" s="36" t="n">
        <v>2.5</v>
      </c>
      <c r="R19" s="37" t="s">
        <v>79</v>
      </c>
      <c r="S19" s="5" t="n">
        <f aca="false">Q19*(VLOOKUP(R19,tab_fator[],3,0))</f>
        <v>2.5E+093</v>
      </c>
      <c r="T19" s="36" t="n">
        <v>2.39</v>
      </c>
      <c r="U19" s="37" t="s">
        <v>79</v>
      </c>
      <c r="V19" s="37" t="n">
        <f aca="false">T19*(VLOOKUP(U19,tab_fator[],3,0))</f>
        <v>2.39E+093</v>
      </c>
      <c r="W19" s="39" t="n">
        <f aca="false">_xlfn.RANK.EQ(V19,$V17:$V21)</f>
        <v>3</v>
      </c>
      <c r="X19" s="37"/>
      <c r="Y19" s="37" t="n">
        <f aca="false">MIN(V19,S19,P19)</f>
        <v>2.39E+093</v>
      </c>
      <c r="Z19" s="37" t="n">
        <f aca="false">MATCH(Y19,M19:V19,0)</f>
        <v>10</v>
      </c>
      <c r="AA19" s="37" t="n">
        <f aca="false">COLUMN($L$1)</f>
        <v>12</v>
      </c>
      <c r="AB19" s="37" t="n">
        <v>2</v>
      </c>
      <c r="AC19" s="37" t="n">
        <f aca="false">Z19+AA19-AB19</f>
        <v>20</v>
      </c>
      <c r="AD19" s="37" t="n">
        <f aca="false">ROW(X19)</f>
        <v>19</v>
      </c>
      <c r="AE19" s="39" t="n">
        <f aca="true" t="array" ref="AE19:AE19">INDIRECT(ADDRESS(AD19,AC19,1,1))</f>
        <v>2.39</v>
      </c>
      <c r="AF19" s="37" t="str">
        <f aca="true" t="array" ref="AF19:AF19">INDIRECT(ADDRESS(AD19,AC19+1,1,1))</f>
        <v>ba</v>
      </c>
      <c r="AG19" s="37"/>
      <c r="AH19" s="39" t="str">
        <f aca="false">IF(AND(V19&lt;S19,V19&lt;P19),"Equilibrado","Ver")</f>
        <v>Equilibrado</v>
      </c>
      <c r="AJ19" s="40" t="s">
        <v>82</v>
      </c>
      <c r="AK19" s="36" t="n">
        <v>5</v>
      </c>
      <c r="AL19" s="39" t="n">
        <f aca="false">VLOOKUP(I11,tab_fator[],2,0)-VLOOKUP(AQ19,tab_fator[],2,0)</f>
        <v>3</v>
      </c>
      <c r="AM19" s="5" t="str">
        <f aca="false">IF(AN19+AT19=6,"Equilibrado","Ver")</f>
        <v>Equilibrado</v>
      </c>
      <c r="AN19" s="36" t="n">
        <f aca="false">_xlfn.RANK.EQ(AO19,AO17:AO21)</f>
        <v>3</v>
      </c>
      <c r="AO19" s="5" t="n">
        <f aca="false">AP19*(VLOOKUP(AQ19,tab_fator[],3,0))</f>
        <v>1.41E+094</v>
      </c>
      <c r="AP19" s="5" t="n">
        <f aca="false">'Transformação-Normal'!Q16</f>
        <v>14.1</v>
      </c>
      <c r="AQ19" s="5" t="str">
        <f aca="false">'Transformação-Normal'!R16</f>
        <v>ba</v>
      </c>
      <c r="AR19" s="127" t="n">
        <f aca="false">AO19/SUM(AO17:AO21)</f>
        <v>0.0868542142773545</v>
      </c>
      <c r="AS19" s="5" t="n">
        <f aca="false">VLOOKUP(AS18,tab_fator[],3,0)</f>
        <v>1E+093</v>
      </c>
      <c r="AT19" s="11" t="n">
        <f aca="false">_xlfn.RANK.EQ(AU19,$AU$17:$AU$21,1)</f>
        <v>3</v>
      </c>
      <c r="AU19" s="5" t="n">
        <f aca="false">AV19*(VLOOKUP(AW19,tab_fator[],3,0))</f>
        <v>2.84E+104</v>
      </c>
      <c r="AV19" s="5" t="n">
        <v>284</v>
      </c>
      <c r="AW19" s="37" t="s">
        <v>76</v>
      </c>
    </row>
    <row r="20" customFormat="false" ht="12.75" hidden="false" customHeight="true" outlineLevel="0" collapsed="false">
      <c r="A20" s="1" t="s">
        <v>83</v>
      </c>
      <c r="B20" s="1" t="n">
        <v>19</v>
      </c>
      <c r="C20" s="2" t="n">
        <f aca="false">C19*1000</f>
        <v>1E+054</v>
      </c>
      <c r="D20" s="8" t="n">
        <f aca="false">LEN(TEXT(C20,0))</f>
        <v>55</v>
      </c>
      <c r="E20" s="25"/>
      <c r="F20" s="139" t="s">
        <v>84</v>
      </c>
      <c r="G20" s="139" t="n">
        <v>18</v>
      </c>
      <c r="H20" s="140" t="n">
        <v>25</v>
      </c>
      <c r="I20" s="141" t="n">
        <f aca="false">G20/H20</f>
        <v>0.72</v>
      </c>
      <c r="J20" s="16"/>
      <c r="K20" s="16"/>
      <c r="M20" s="129" t="s">
        <v>85</v>
      </c>
      <c r="N20" s="129" t="n">
        <v>17.5</v>
      </c>
      <c r="O20" s="130" t="s">
        <v>79</v>
      </c>
      <c r="P20" s="131" t="n">
        <f aca="false">N20*(VLOOKUP(O20,tab_fator[],3,0))</f>
        <v>1.75E+094</v>
      </c>
      <c r="Q20" s="129" t="n">
        <v>17.5</v>
      </c>
      <c r="R20" s="130" t="s">
        <v>79</v>
      </c>
      <c r="S20" s="129" t="n">
        <f aca="false">Q20*(VLOOKUP(R20,tab_fator[],3,0))</f>
        <v>1.75E+094</v>
      </c>
      <c r="T20" s="129" t="n">
        <v>8.89</v>
      </c>
      <c r="U20" s="130" t="s">
        <v>79</v>
      </c>
      <c r="V20" s="130" t="n">
        <f aca="false">T20*(VLOOKUP(U20,tab_fator[],3,0))</f>
        <v>8.89E+093</v>
      </c>
      <c r="W20" s="132" t="n">
        <f aca="false">_xlfn.RANK.EQ(V20,$V17:$V21)</f>
        <v>2</v>
      </c>
      <c r="X20" s="133"/>
      <c r="Y20" s="130" t="n">
        <f aca="false">MIN(V20,S20,P20)</f>
        <v>8.89E+093</v>
      </c>
      <c r="Z20" s="130" t="n">
        <f aca="false">MATCH(Y20,M20:V20,0)</f>
        <v>10</v>
      </c>
      <c r="AA20" s="130" t="n">
        <f aca="false">COLUMN($L$1)</f>
        <v>12</v>
      </c>
      <c r="AB20" s="130" t="n">
        <v>2</v>
      </c>
      <c r="AC20" s="130" t="n">
        <f aca="false">Z20+AA20-AB20</f>
        <v>20</v>
      </c>
      <c r="AD20" s="130" t="n">
        <f aca="false">ROW(X20)</f>
        <v>20</v>
      </c>
      <c r="AE20" s="132" t="n">
        <f aca="true" t="array" ref="AE20:AE20">INDIRECT(ADDRESS(AD20,AC20,1,1))</f>
        <v>8.89</v>
      </c>
      <c r="AF20" s="130" t="str">
        <f aca="true" t="array" ref="AF20:AF20">INDIRECT(ADDRESS(AD20,AC20+1,1,1))</f>
        <v>ba</v>
      </c>
      <c r="AG20" s="130"/>
      <c r="AH20" s="132" t="str">
        <f aca="false">IF(AND(V20&lt;S20,V20&lt;P20),"Equilibrado","Ver")</f>
        <v>Equilibrado</v>
      </c>
      <c r="AJ20" s="134" t="s">
        <v>85</v>
      </c>
      <c r="AK20" s="129" t="n">
        <v>5</v>
      </c>
      <c r="AL20" s="135" t="n">
        <f aca="false">VLOOKUP(I11,tab_fator[],2,0)-VLOOKUP(AQ20,tab_fator[],2,0)</f>
        <v>3</v>
      </c>
      <c r="AM20" s="136" t="str">
        <f aca="false">IF(AN20+AT20=6,"Equilibrado","Ver")</f>
        <v>Equilibrado</v>
      </c>
      <c r="AN20" s="129" t="n">
        <f aca="false">_xlfn.RANK.EQ(AO20,AO17:AO21)</f>
        <v>2</v>
      </c>
      <c r="AO20" s="136" t="n">
        <f aca="false">AP20*(VLOOKUP(AQ20,tab_fator[],3,0))</f>
        <v>5.25E+094</v>
      </c>
      <c r="AP20" s="136" t="n">
        <f aca="false">'Transformação-Normal'!Q17</f>
        <v>52.5</v>
      </c>
      <c r="AQ20" s="136" t="str">
        <f aca="false">'Transformação-Normal'!R17</f>
        <v>ba</v>
      </c>
      <c r="AR20" s="137" t="n">
        <f aca="false">AO20/SUM(AO17:AO21)</f>
        <v>0.323393351032703</v>
      </c>
      <c r="AS20" s="136"/>
      <c r="AT20" s="138" t="n">
        <f aca="false">_xlfn.RANK.EQ(AU20,$AU$17:$AU$21,1)</f>
        <v>4</v>
      </c>
      <c r="AU20" s="136" t="n">
        <f aca="false">AV20*(VLOOKUP(AW20,tab_fator[],3,0))</f>
        <v>2.14E+105</v>
      </c>
      <c r="AV20" s="136" t="n">
        <v>2.14</v>
      </c>
      <c r="AW20" s="130" t="s">
        <v>57</v>
      </c>
    </row>
    <row r="21" customFormat="false" ht="12.75" hidden="false" customHeight="true" outlineLevel="0" collapsed="false">
      <c r="A21" s="1" t="s">
        <v>86</v>
      </c>
      <c r="B21" s="1" t="n">
        <f aca="false">B20+1</f>
        <v>20</v>
      </c>
      <c r="C21" s="2" t="n">
        <f aca="false">C20*1000</f>
        <v>1E+057</v>
      </c>
      <c r="D21" s="8" t="n">
        <f aca="false">LEN(TEXT(C21,0))</f>
        <v>58</v>
      </c>
      <c r="E21" s="25"/>
      <c r="J21" s="16"/>
      <c r="K21" s="16"/>
      <c r="M21" s="72" t="s">
        <v>87</v>
      </c>
      <c r="N21" s="72" t="n">
        <v>20.3</v>
      </c>
      <c r="O21" s="73" t="s">
        <v>79</v>
      </c>
      <c r="P21" s="74" t="n">
        <f aca="false">N21*(VLOOKUP(O21,tab_fator[],3,0))</f>
        <v>2.03E+094</v>
      </c>
      <c r="Q21" s="72" t="n">
        <v>20.4</v>
      </c>
      <c r="R21" s="73" t="s">
        <v>79</v>
      </c>
      <c r="S21" s="74" t="n">
        <f aca="false">Q21*(VLOOKUP(R21,tab_fator[],3,0))</f>
        <v>2.04E+094</v>
      </c>
      <c r="T21" s="72" t="n">
        <v>15.1</v>
      </c>
      <c r="U21" s="73" t="s">
        <v>79</v>
      </c>
      <c r="V21" s="73" t="n">
        <f aca="false">T21*(VLOOKUP(U21,tab_fator[],3,0))</f>
        <v>1.51E+094</v>
      </c>
      <c r="W21" s="76" t="n">
        <f aca="false">_xlfn.RANK.EQ(V21,$V17:$V21)</f>
        <v>1</v>
      </c>
      <c r="X21" s="73"/>
      <c r="Y21" s="73" t="n">
        <f aca="false">MIN(V21,S21,P21)</f>
        <v>1.51E+094</v>
      </c>
      <c r="Z21" s="73" t="n">
        <f aca="false">MATCH(Y21,M21:V21,0)</f>
        <v>10</v>
      </c>
      <c r="AA21" s="73" t="n">
        <f aca="false">COLUMN($L$1)</f>
        <v>12</v>
      </c>
      <c r="AB21" s="73" t="n">
        <v>2</v>
      </c>
      <c r="AC21" s="73" t="n">
        <f aca="false">Z21+AA21-AB21</f>
        <v>20</v>
      </c>
      <c r="AD21" s="73" t="n">
        <f aca="false">ROW(X21)</f>
        <v>21</v>
      </c>
      <c r="AE21" s="76" t="n">
        <f aca="true" t="array" ref="AE21:AE21">INDIRECT(ADDRESS(AD21,AC21,1,1))</f>
        <v>15.1</v>
      </c>
      <c r="AF21" s="73" t="str">
        <f aca="true" t="array" ref="AF21:AF21">INDIRECT(ADDRESS(AD21,AC21+1,1,1))</f>
        <v>ba</v>
      </c>
      <c r="AG21" s="73"/>
      <c r="AH21" s="76" t="str">
        <f aca="false">IF(AND(V21&lt;S21,V21&lt;P21),"Equilibrado","Ver")</f>
        <v>Equilibrado</v>
      </c>
      <c r="AJ21" s="40" t="s">
        <v>87</v>
      </c>
      <c r="AK21" s="36" t="n">
        <v>5</v>
      </c>
      <c r="AL21" s="39" t="n">
        <f aca="false">VLOOKUP(I11,tab_fator[],2,0)-VLOOKUP(AQ21,tab_fator[],2,0)</f>
        <v>3</v>
      </c>
      <c r="AM21" s="5" t="str">
        <f aca="false">IF(AN21+AT21=6,"Equilibrado","Ver")</f>
        <v>Equilibrado</v>
      </c>
      <c r="AN21" s="36" t="n">
        <f aca="false">_xlfn.RANK.EQ(AO21,AO17:AO21)</f>
        <v>1</v>
      </c>
      <c r="AO21" s="5" t="n">
        <f aca="false">AP21*(VLOOKUP(AQ21,tab_fator[],3,0))</f>
        <v>8.91E+094</v>
      </c>
      <c r="AP21" s="5" t="n">
        <f aca="false">'Transformação-Normal'!Q18</f>
        <v>89.1</v>
      </c>
      <c r="AQ21" s="5" t="str">
        <f aca="false">'Transformação-Normal'!R18</f>
        <v>ba</v>
      </c>
      <c r="AR21" s="127" t="n">
        <f aca="false">AO21/SUM(AO17:AO21)</f>
        <v>0.548844715752644</v>
      </c>
      <c r="AT21" s="11" t="n">
        <f aca="false">_xlfn.RANK.EQ(AU21,$AU$17:$AU$21,1)</f>
        <v>5</v>
      </c>
      <c r="AU21" s="5" t="n">
        <f aca="false">AV21*(VLOOKUP(AW21,tab_fator[],3,0))</f>
        <v>7.87E+105</v>
      </c>
      <c r="AV21" s="5" t="n">
        <v>7.87</v>
      </c>
      <c r="AW21" s="37" t="s">
        <v>57</v>
      </c>
    </row>
    <row r="22" customFormat="false" ht="12.75" hidden="false" customHeight="true" outlineLevel="0" collapsed="false">
      <c r="A22" s="1" t="s">
        <v>88</v>
      </c>
      <c r="B22" s="1" t="n">
        <f aca="false">B21+1</f>
        <v>21</v>
      </c>
      <c r="C22" s="2" t="n">
        <f aca="false">C21*1000</f>
        <v>1E+060</v>
      </c>
      <c r="D22" s="8" t="n">
        <f aca="false">LEN(TEXT(C22,0))</f>
        <v>61</v>
      </c>
      <c r="E22" s="25"/>
      <c r="F22" s="142" t="s">
        <v>89</v>
      </c>
      <c r="G22" s="142" t="s">
        <v>90</v>
      </c>
      <c r="H22" s="143" t="s">
        <v>91</v>
      </c>
      <c r="I22" s="143"/>
      <c r="J22" s="143"/>
      <c r="K22" s="16"/>
      <c r="AJ22" s="144" t="s">
        <v>61</v>
      </c>
      <c r="AK22" s="104" t="str">
        <f aca="false">CONCATENATE(SUM(AK17:AK21)," / ",6*5)</f>
        <v>25 / 30</v>
      </c>
      <c r="AL22" s="104"/>
      <c r="AM22" s="104"/>
      <c r="AN22" s="145"/>
      <c r="AO22" s="145"/>
      <c r="AP22" s="145" t="str">
        <f aca="false">IF(AS17/AS19&lt;10,(TEXT(AS17/AS19,"#,##")),IF(AS17/AS19&lt;100,TEXT(AS17/AS19,"##,#"),TEXT(AS17/AS19,"###")))</f>
        <v>162</v>
      </c>
      <c r="AQ22" s="145" t="str">
        <f aca="false">AS18</f>
        <v>ba</v>
      </c>
      <c r="AR22" s="146"/>
      <c r="AS22" s="145"/>
      <c r="AT22" s="147" t="str">
        <f aca="false">IF((AP22*VLOOKUP(AQ22,tab_fator[],3,0))&gt;(_xlfn.XLOOKUP(1,AT17:AT21,AV17:AV21,"",0,1)*VLOOKUP((_xlfn.XLOOKUP(1,AT17:AT21,AW17:AW21,"",0,1)),tab_fator[],3,0)),"Pronto","Esperar")</f>
        <v>Esperar</v>
      </c>
      <c r="AU22" s="147"/>
      <c r="AV22" s="147"/>
      <c r="AW22" s="147"/>
    </row>
    <row r="23" customFormat="false" ht="12.75" hidden="false" customHeight="true" outlineLevel="0" collapsed="false">
      <c r="A23" s="1" t="s">
        <v>92</v>
      </c>
      <c r="B23" s="1" t="n">
        <f aca="false">B22+1</f>
        <v>22</v>
      </c>
      <c r="C23" s="2" t="n">
        <f aca="false">C22*1000</f>
        <v>1E+063</v>
      </c>
      <c r="D23" s="8" t="n">
        <f aca="false">LEN(TEXT(C23,0))</f>
        <v>64</v>
      </c>
      <c r="E23" s="25"/>
      <c r="F23" s="12" t="n">
        <v>2</v>
      </c>
      <c r="G23" s="12" t="s">
        <v>93</v>
      </c>
      <c r="H23" s="12" t="s">
        <v>94</v>
      </c>
      <c r="I23" s="12"/>
      <c r="J23" s="12"/>
      <c r="K23" s="16"/>
    </row>
    <row r="24" customFormat="false" ht="12.75" hidden="false" customHeight="true" outlineLevel="0" collapsed="false">
      <c r="A24" s="1" t="s">
        <v>95</v>
      </c>
      <c r="B24" s="1" t="n">
        <f aca="false">B23+1</f>
        <v>23</v>
      </c>
      <c r="C24" s="2" t="n">
        <f aca="false">C23*1000</f>
        <v>1E+066</v>
      </c>
      <c r="D24" s="8" t="n">
        <f aca="false">LEN(TEXT(C24,0))</f>
        <v>67</v>
      </c>
      <c r="E24" s="25"/>
      <c r="F24" s="148" t="n">
        <v>4</v>
      </c>
      <c r="G24" s="148" t="s">
        <v>93</v>
      </c>
      <c r="H24" s="148" t="s">
        <v>94</v>
      </c>
      <c r="I24" s="148"/>
      <c r="J24" s="148"/>
      <c r="K24" s="16"/>
      <c r="AJ24" s="149" t="s">
        <v>96</v>
      </c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</row>
    <row r="25" customFormat="false" ht="12.75" hidden="false" customHeight="true" outlineLevel="0" collapsed="false">
      <c r="A25" s="1" t="s">
        <v>97</v>
      </c>
      <c r="B25" s="1" t="n">
        <f aca="false">B24+1</f>
        <v>24</v>
      </c>
      <c r="C25" s="2" t="n">
        <f aca="false">C24*1000</f>
        <v>1E+069</v>
      </c>
      <c r="D25" s="8" t="n">
        <f aca="false">LEN(TEXT(C25,0))</f>
        <v>70</v>
      </c>
      <c r="E25" s="25"/>
      <c r="F25" s="12" t="n">
        <v>5</v>
      </c>
      <c r="G25" s="150"/>
      <c r="H25" s="12" t="s">
        <v>94</v>
      </c>
      <c r="I25" s="12"/>
      <c r="J25" s="12"/>
      <c r="K25" s="16"/>
      <c r="M25" s="151" t="s">
        <v>96</v>
      </c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J25" s="152" t="s">
        <v>12</v>
      </c>
      <c r="AK25" s="153" t="s">
        <v>69</v>
      </c>
      <c r="AL25" s="154" t="s">
        <v>14</v>
      </c>
      <c r="AM25" s="155" t="s">
        <v>15</v>
      </c>
      <c r="AN25" s="156" t="s">
        <v>16</v>
      </c>
      <c r="AO25" s="156"/>
      <c r="AP25" s="156"/>
      <c r="AQ25" s="156"/>
      <c r="AR25" s="156"/>
      <c r="AS25" s="157"/>
      <c r="AT25" s="156" t="s">
        <v>17</v>
      </c>
      <c r="AU25" s="156"/>
      <c r="AV25" s="156"/>
      <c r="AW25" s="156"/>
    </row>
    <row r="26" customFormat="false" ht="12.75" hidden="false" customHeight="true" outlineLevel="0" collapsed="false">
      <c r="A26" s="1" t="s">
        <v>53</v>
      </c>
      <c r="B26" s="1" t="n">
        <f aca="false">B25+1</f>
        <v>25</v>
      </c>
      <c r="C26" s="2" t="n">
        <f aca="false">C25*1000</f>
        <v>1E+072</v>
      </c>
      <c r="D26" s="8" t="n">
        <f aca="false">LEN(TEXT(C26,0))</f>
        <v>73</v>
      </c>
      <c r="E26" s="25"/>
      <c r="F26" s="148" t="n">
        <v>10</v>
      </c>
      <c r="G26" s="158" t="s">
        <v>93</v>
      </c>
      <c r="H26" s="148" t="s">
        <v>94</v>
      </c>
      <c r="I26" s="148"/>
      <c r="J26" s="148"/>
      <c r="K26" s="16"/>
      <c r="M26" s="159" t="s">
        <v>12</v>
      </c>
      <c r="N26" s="159" t="s">
        <v>20</v>
      </c>
      <c r="O26" s="159"/>
      <c r="P26" s="160" t="s">
        <v>21</v>
      </c>
      <c r="Q26" s="159" t="s">
        <v>22</v>
      </c>
      <c r="R26" s="159"/>
      <c r="S26" s="160" t="s">
        <v>23</v>
      </c>
      <c r="T26" s="159" t="s">
        <v>24</v>
      </c>
      <c r="U26" s="159"/>
      <c r="V26" s="161" t="s">
        <v>25</v>
      </c>
      <c r="W26" s="162" t="s">
        <v>26</v>
      </c>
      <c r="X26" s="161"/>
      <c r="Y26" s="162" t="s">
        <v>2</v>
      </c>
      <c r="Z26" s="162" t="s">
        <v>27</v>
      </c>
      <c r="AA26" s="162" t="s">
        <v>28</v>
      </c>
      <c r="AB26" s="162" t="s">
        <v>29</v>
      </c>
      <c r="AC26" s="162" t="s">
        <v>30</v>
      </c>
      <c r="AD26" s="162" t="s">
        <v>31</v>
      </c>
      <c r="AE26" s="162" t="s">
        <v>32</v>
      </c>
      <c r="AF26" s="162"/>
      <c r="AG26" s="161"/>
      <c r="AH26" s="162" t="s">
        <v>15</v>
      </c>
      <c r="AJ26" s="152"/>
      <c r="AK26" s="163" t="s">
        <v>9</v>
      </c>
      <c r="AL26" s="154"/>
      <c r="AM26" s="155"/>
      <c r="AN26" s="164" t="s">
        <v>26</v>
      </c>
      <c r="AO26" s="164"/>
      <c r="AP26" s="164" t="s">
        <v>2</v>
      </c>
      <c r="AQ26" s="164" t="s">
        <v>33</v>
      </c>
      <c r="AR26" s="165" t="s">
        <v>34</v>
      </c>
      <c r="AS26" s="164"/>
      <c r="AT26" s="164" t="s">
        <v>26</v>
      </c>
      <c r="AU26" s="164" t="s">
        <v>35</v>
      </c>
      <c r="AV26" s="164" t="s">
        <v>2</v>
      </c>
      <c r="AW26" s="166" t="s">
        <v>33</v>
      </c>
    </row>
    <row r="27" customFormat="false" ht="12.75" hidden="false" customHeight="true" outlineLevel="0" collapsed="false">
      <c r="A27" s="1" t="s">
        <v>98</v>
      </c>
      <c r="B27" s="1" t="n">
        <f aca="false">B26+1</f>
        <v>26</v>
      </c>
      <c r="C27" s="2" t="n">
        <f aca="false">C26*1000</f>
        <v>1E+075</v>
      </c>
      <c r="D27" s="8" t="n">
        <f aca="false">LEN(TEXT(C27,0))</f>
        <v>76</v>
      </c>
      <c r="E27" s="25"/>
      <c r="F27" s="12" t="n">
        <v>20</v>
      </c>
      <c r="G27" s="12"/>
      <c r="H27" s="12" t="s">
        <v>94</v>
      </c>
      <c r="I27" s="12"/>
      <c r="J27" s="12"/>
      <c r="K27" s="16"/>
      <c r="M27" s="35" t="s">
        <v>99</v>
      </c>
      <c r="N27" s="36" t="n">
        <v>443</v>
      </c>
      <c r="O27" s="37" t="s">
        <v>100</v>
      </c>
      <c r="P27" s="4" t="n">
        <f aca="false">N27*(VLOOKUP(O27,tab_fator[],3,0))</f>
        <v>4.43E+089</v>
      </c>
      <c r="Q27" s="36" t="n">
        <v>426</v>
      </c>
      <c r="R27" s="37" t="s">
        <v>100</v>
      </c>
      <c r="S27" s="4" t="n">
        <f aca="false">Q27*(VLOOKUP(R27,tab_fator[],3,0))</f>
        <v>4.26E+089</v>
      </c>
      <c r="T27" s="36" t="n">
        <v>401</v>
      </c>
      <c r="U27" s="37" t="s">
        <v>100</v>
      </c>
      <c r="V27" s="167" t="n">
        <f aca="false">T27*(VLOOKUP(U27,tab_fator[],3,0))</f>
        <v>4.01E+089</v>
      </c>
      <c r="W27" s="39" t="n">
        <f aca="false">_xlfn.RANK.EQ(V27,$V27:$V31)</f>
        <v>5</v>
      </c>
      <c r="X27" s="167"/>
      <c r="Y27" s="37" t="n">
        <f aca="false">MIN(V27,S27,P27)</f>
        <v>4.01E+089</v>
      </c>
      <c r="Z27" s="37" t="n">
        <f aca="false">MATCH(Y27,M27:V27,0)</f>
        <v>10</v>
      </c>
      <c r="AA27" s="37" t="n">
        <f aca="false">COLUMN($L$1)</f>
        <v>12</v>
      </c>
      <c r="AB27" s="37" t="n">
        <v>2</v>
      </c>
      <c r="AC27" s="37" t="n">
        <f aca="false">Z27+AA27-AB27</f>
        <v>20</v>
      </c>
      <c r="AD27" s="37" t="n">
        <f aca="false">ROW(X27)</f>
        <v>27</v>
      </c>
      <c r="AE27" s="37" t="n">
        <f aca="true" t="array" ref="AE27:AE27">INDIRECT(ADDRESS(AD27,AC27,1,1))</f>
        <v>401</v>
      </c>
      <c r="AF27" s="37" t="str">
        <f aca="true" t="array" ref="AF27:AF27">INDIRECT(ADDRESS(AD27,AC27+1,1,1))</f>
        <v>ay</v>
      </c>
      <c r="AG27" s="167"/>
      <c r="AH27" s="37" t="str">
        <f aca="false">IF(AND(V27&lt;S27,V27&lt;P27),"Equilibrado","Ver")</f>
        <v>Equilibrado</v>
      </c>
      <c r="AJ27" s="40" t="s">
        <v>99</v>
      </c>
      <c r="AK27" s="36" t="n">
        <v>5</v>
      </c>
      <c r="AL27" s="39" t="n">
        <f aca="false">VLOOKUP($I$12,tab_fator[],2,0)-VLOOKUP(AQ27,tab_fator[],2,0)</f>
        <v>3</v>
      </c>
      <c r="AM27" s="5" t="str">
        <f aca="false">IF(AN27+AT27=6,"Equilibrado","Ver")</f>
        <v>Equilibrado</v>
      </c>
      <c r="AN27" s="36" t="n">
        <f aca="false">_xlfn.RANK.EQ(AO27,AO27:AO31)</f>
        <v>5</v>
      </c>
      <c r="AO27" s="5" t="n">
        <f aca="false">AP27*(VLOOKUP(AQ27,tab_fator[],3,0))</f>
        <v>2.37E+090</v>
      </c>
      <c r="AP27" s="5" t="n">
        <f aca="false">'Transformação-Normal'!Q21</f>
        <v>2.37</v>
      </c>
      <c r="AQ27" s="3" t="str">
        <f aca="false">'Transformação-Normal'!R21</f>
        <v>az</v>
      </c>
      <c r="AR27" s="42" t="n">
        <f aca="false">AO27/SUM(AO27:AO31)</f>
        <v>0.0186952749073125</v>
      </c>
      <c r="AS27" s="43" t="n">
        <f aca="false">(AP27*VLOOKUP(AQ27,tab_fator[],3,0))+
(AP28*VLOOKUP(AQ28,tab_fator[],3,0))+
(AP29*VLOOKUP(AQ29,tab_fator[],3,0))+
(AP30*VLOOKUP(AQ30,tab_fator[],3,0))+
(AP31*VLOOKUP(AQ31,tab_fator[],3,0))</f>
        <v>1.2677E+092</v>
      </c>
      <c r="AT27" s="11" t="n">
        <f aca="false">_xlfn.RANK.EQ(AU27,$AU$27:$AU$31,1)</f>
        <v>1</v>
      </c>
      <c r="AU27" s="5" t="n">
        <f aca="false">AV27*(VLOOKUP(AW27,tab_fator[],3,0))</f>
        <v>2.81E+099</v>
      </c>
      <c r="AV27" s="5" t="n">
        <v>2.81</v>
      </c>
      <c r="AW27" s="37" t="s">
        <v>49</v>
      </c>
    </row>
    <row r="28" customFormat="false" ht="12.75" hidden="false" customHeight="true" outlineLevel="0" collapsed="false">
      <c r="A28" s="1" t="s">
        <v>101</v>
      </c>
      <c r="B28" s="1" t="n">
        <f aca="false">B27+1</f>
        <v>27</v>
      </c>
      <c r="C28" s="2" t="n">
        <f aca="false">C27*1000</f>
        <v>1E+078</v>
      </c>
      <c r="D28" s="8" t="n">
        <f aca="false">LEN(TEXT(C28,0))</f>
        <v>79</v>
      </c>
      <c r="E28" s="25"/>
      <c r="F28" s="148" t="n">
        <v>25</v>
      </c>
      <c r="G28" s="148"/>
      <c r="H28" s="148" t="s">
        <v>94</v>
      </c>
      <c r="I28" s="148"/>
      <c r="J28" s="148"/>
      <c r="K28" s="16"/>
      <c r="M28" s="168" t="s">
        <v>102</v>
      </c>
      <c r="N28" s="168" t="n">
        <v>2.02</v>
      </c>
      <c r="O28" s="169" t="s">
        <v>75</v>
      </c>
      <c r="P28" s="170" t="n">
        <f aca="false">N28*(VLOOKUP(O28,tab_fator[],3,0))</f>
        <v>2.02E+090</v>
      </c>
      <c r="Q28" s="168" t="n">
        <v>1.95</v>
      </c>
      <c r="R28" s="169" t="s">
        <v>75</v>
      </c>
      <c r="S28" s="171" t="n">
        <f aca="false">Q28*(VLOOKUP(R28,tab_fator[],3,0))</f>
        <v>1.95E+090</v>
      </c>
      <c r="T28" s="168" t="n">
        <v>1.72</v>
      </c>
      <c r="U28" s="169" t="s">
        <v>75</v>
      </c>
      <c r="V28" s="172" t="n">
        <f aca="false">T28*(VLOOKUP(U28,tab_fator[],3,0))</f>
        <v>1.72E+090</v>
      </c>
      <c r="W28" s="173" t="n">
        <f aca="false">_xlfn.RANK.EQ(V28,$V27:$V31)</f>
        <v>4</v>
      </c>
      <c r="X28" s="174"/>
      <c r="Y28" s="169" t="n">
        <f aca="false">MIN(V28,S28,P28)</f>
        <v>1.72E+090</v>
      </c>
      <c r="Z28" s="169" t="n">
        <f aca="false">MATCH(Y28,M28:V28,0)</f>
        <v>10</v>
      </c>
      <c r="AA28" s="169" t="n">
        <f aca="false">COLUMN($L$1)</f>
        <v>12</v>
      </c>
      <c r="AB28" s="169" t="n">
        <v>2</v>
      </c>
      <c r="AC28" s="169" t="n">
        <f aca="false">Z28+AA28-AB28</f>
        <v>20</v>
      </c>
      <c r="AD28" s="169" t="n">
        <f aca="false">ROW(X28)</f>
        <v>28</v>
      </c>
      <c r="AE28" s="169" t="n">
        <f aca="true" t="array" ref="AE28:AE28">INDIRECT(ADDRESS(AD28,AC28,1,1))</f>
        <v>1.72</v>
      </c>
      <c r="AF28" s="169" t="str">
        <f aca="true" t="array" ref="AF28:AF28">INDIRECT(ADDRESS(AD28,AC28+1,1,1))</f>
        <v>az</v>
      </c>
      <c r="AG28" s="172"/>
      <c r="AH28" s="173" t="str">
        <f aca="false">IF(AND(V28&lt;S28,V28&lt;P28),"Equilibrado","Ver")</f>
        <v>Equilibrado</v>
      </c>
      <c r="AJ28" s="175" t="s">
        <v>102</v>
      </c>
      <c r="AK28" s="176" t="n">
        <v>5</v>
      </c>
      <c r="AL28" s="177" t="n">
        <f aca="false">VLOOKUP($I$12,tab_fator[],2,0)-VLOOKUP(AQ28,tab_fator[],2,0)</f>
        <v>3</v>
      </c>
      <c r="AM28" s="178" t="str">
        <f aca="false">IF(AN28+AT28=6,"Equilibrado","Ver")</f>
        <v>Equilibrado</v>
      </c>
      <c r="AN28" s="176" t="n">
        <f aca="false">_xlfn.RANK.EQ(AO28,AO27:AO31)</f>
        <v>4</v>
      </c>
      <c r="AO28" s="178" t="n">
        <f aca="false">AP28*(VLOOKUP(AQ28,tab_fator[],3,0))</f>
        <v>1.01E+091</v>
      </c>
      <c r="AP28" s="178" t="n">
        <f aca="false">'Transformação-Normal'!Q22</f>
        <v>10.1</v>
      </c>
      <c r="AQ28" s="179" t="str">
        <f aca="false">'Transformação-Normal'!R22</f>
        <v>az</v>
      </c>
      <c r="AR28" s="180" t="n">
        <f aca="false">AO28/SUM(AO27:AO31)</f>
        <v>0.079671846651416</v>
      </c>
      <c r="AS28" s="179" t="str">
        <f aca="false">_xlfn.XLOOKUP((LEN(TEXT(AS27,0))),tab_fator[Dgts],tab_fator[Fator],"errro",-1,1)</f>
        <v>az</v>
      </c>
      <c r="AT28" s="181" t="n">
        <f aca="false">_xlfn.RANK.EQ(AU28,$AU$27:$AU$31,1)</f>
        <v>2</v>
      </c>
      <c r="AU28" s="178" t="n">
        <f aca="false">AV28*(VLOOKUP(AW28,tab_fator[],3,0))</f>
        <v>3.99E+100</v>
      </c>
      <c r="AV28" s="178" t="n">
        <v>39.9</v>
      </c>
      <c r="AW28" s="182" t="s">
        <v>49</v>
      </c>
    </row>
    <row r="29" customFormat="false" ht="12.75" hidden="false" customHeight="true" outlineLevel="0" collapsed="false">
      <c r="A29" s="1" t="s">
        <v>103</v>
      </c>
      <c r="B29" s="1" t="n">
        <f aca="false">B28+1</f>
        <v>28</v>
      </c>
      <c r="C29" s="2" t="n">
        <f aca="false">C28*1000</f>
        <v>1E+081</v>
      </c>
      <c r="D29" s="8" t="n">
        <f aca="false">LEN(TEXT(C29,0))</f>
        <v>82</v>
      </c>
      <c r="E29" s="25"/>
      <c r="F29" s="12" t="n">
        <v>50</v>
      </c>
      <c r="G29" s="12"/>
      <c r="H29" s="12" t="s">
        <v>94</v>
      </c>
      <c r="I29" s="12"/>
      <c r="J29" s="12"/>
      <c r="K29" s="16"/>
      <c r="M29" s="35" t="s">
        <v>104</v>
      </c>
      <c r="N29" s="36" t="n">
        <v>2.11</v>
      </c>
      <c r="O29" s="37" t="s">
        <v>75</v>
      </c>
      <c r="P29" s="4" t="n">
        <f aca="false">N29*(VLOOKUP(O29,tab_fator[],3,0))</f>
        <v>2.11E+090</v>
      </c>
      <c r="Q29" s="36" t="n">
        <v>2.03</v>
      </c>
      <c r="R29" s="37" t="s">
        <v>75</v>
      </c>
      <c r="S29" s="4" t="n">
        <f aca="false">Q29*(VLOOKUP(R29,tab_fator[],3,0))</f>
        <v>2.03E+090</v>
      </c>
      <c r="T29" s="36" t="n">
        <v>1.95</v>
      </c>
      <c r="U29" s="37" t="s">
        <v>75</v>
      </c>
      <c r="V29" s="167" t="n">
        <f aca="false">T29*(VLOOKUP(U29,tab_fator[],3,0))</f>
        <v>1.95E+090</v>
      </c>
      <c r="W29" s="39" t="n">
        <f aca="false">_xlfn.RANK.EQ(V29,$V27:$V31)</f>
        <v>3</v>
      </c>
      <c r="X29" s="167"/>
      <c r="Y29" s="37" t="n">
        <f aca="false">MIN(V29,S29,P29)</f>
        <v>1.95E+090</v>
      </c>
      <c r="Z29" s="37" t="n">
        <f aca="false">MATCH(Y29,M29:V29,0)</f>
        <v>10</v>
      </c>
      <c r="AA29" s="37" t="n">
        <f aca="false">COLUMN($L$1)</f>
        <v>12</v>
      </c>
      <c r="AB29" s="37" t="n">
        <v>2</v>
      </c>
      <c r="AC29" s="37" t="n">
        <f aca="false">Z29+AA29-AB29</f>
        <v>20</v>
      </c>
      <c r="AD29" s="37" t="n">
        <f aca="false">ROW(X29)</f>
        <v>29</v>
      </c>
      <c r="AE29" s="37" t="n">
        <f aca="true" t="array" ref="AE29:AE29">INDIRECT(ADDRESS(AD29,AC29,1,1))</f>
        <v>1.95</v>
      </c>
      <c r="AF29" s="37" t="str">
        <f aca="true" t="array" ref="AF29:AF29">INDIRECT(ADDRESS(AD29,AC29+1,1,1))</f>
        <v>az</v>
      </c>
      <c r="AG29" s="167"/>
      <c r="AH29" s="37" t="str">
        <f aca="false">IF(AND(V29&lt;S29,V29&lt;P29),"Equilibrado","Ver")</f>
        <v>Equilibrado</v>
      </c>
      <c r="AJ29" s="40" t="s">
        <v>104</v>
      </c>
      <c r="AK29" s="36" t="n">
        <v>5</v>
      </c>
      <c r="AL29" s="39" t="n">
        <f aca="false">VLOOKUP($I$12,tab_fator[],2,0)-VLOOKUP(AQ29,tab_fator[],2,0)</f>
        <v>3</v>
      </c>
      <c r="AM29" s="5" t="str">
        <f aca="false">IF(AN29+AT29=6,"Equilibrado","Ver")</f>
        <v>Equilibrado</v>
      </c>
      <c r="AN29" s="36" t="n">
        <f aca="false">_xlfn.RANK.EQ(AO29,AO27:AO31)</f>
        <v>3</v>
      </c>
      <c r="AO29" s="5" t="n">
        <f aca="false">AP29*(VLOOKUP(AQ29,tab_fator[],3,0))</f>
        <v>1.15E+091</v>
      </c>
      <c r="AP29" s="5" t="n">
        <f aca="false">'Transformação-Normal'!Q23</f>
        <v>11.5</v>
      </c>
      <c r="AQ29" s="3" t="str">
        <f aca="false">'Transformação-Normal'!R23</f>
        <v>az</v>
      </c>
      <c r="AR29" s="42" t="n">
        <f aca="false">AO29/SUM(AO27:AO31)</f>
        <v>0.090715468959533</v>
      </c>
      <c r="AS29" s="5" t="n">
        <f aca="false">VLOOKUP(AS28,tab_fator[],3,0)</f>
        <v>1E+090</v>
      </c>
      <c r="AT29" s="11" t="n">
        <f aca="false">_xlfn.RANK.EQ(AU29,$AU$27:$AU$31,1)</f>
        <v>3</v>
      </c>
      <c r="AU29" s="5" t="n">
        <f aca="false">AV29*(VLOOKUP(AW29,tab_fator[],3,0))</f>
        <v>3.4E+101</v>
      </c>
      <c r="AV29" s="5" t="n">
        <v>340</v>
      </c>
      <c r="AW29" s="37" t="s">
        <v>49</v>
      </c>
    </row>
    <row r="30" customFormat="false" ht="12.75" hidden="false" customHeight="true" outlineLevel="0" collapsed="false">
      <c r="A30" s="1" t="s">
        <v>105</v>
      </c>
      <c r="B30" s="1" t="n">
        <f aca="false">B29+1</f>
        <v>29</v>
      </c>
      <c r="C30" s="2" t="n">
        <f aca="false">C29*1000</f>
        <v>1E+084</v>
      </c>
      <c r="D30" s="8" t="n">
        <f aca="false">LEN(TEXT(C30,0))</f>
        <v>85</v>
      </c>
      <c r="E30" s="25"/>
      <c r="F30" s="148" t="n">
        <v>75</v>
      </c>
      <c r="G30" s="148"/>
      <c r="H30" s="148" t="s">
        <v>94</v>
      </c>
      <c r="I30" s="148"/>
      <c r="J30" s="148"/>
      <c r="K30" s="16"/>
      <c r="M30" s="183" t="s">
        <v>106</v>
      </c>
      <c r="N30" s="168" t="n">
        <v>8.68</v>
      </c>
      <c r="O30" s="169" t="s">
        <v>75</v>
      </c>
      <c r="P30" s="170" t="n">
        <f aca="false">N30*(VLOOKUP(O30,tab_fator[],3,0))</f>
        <v>8.68E+090</v>
      </c>
      <c r="Q30" s="168" t="n">
        <v>8.36</v>
      </c>
      <c r="R30" s="169" t="s">
        <v>75</v>
      </c>
      <c r="S30" s="171" t="n">
        <f aca="false">Q30*(VLOOKUP(R30,tab_fator[],3,0))</f>
        <v>8.36E+090</v>
      </c>
      <c r="T30" s="168" t="n">
        <v>6.32</v>
      </c>
      <c r="U30" s="169" t="s">
        <v>75</v>
      </c>
      <c r="V30" s="172" t="n">
        <f aca="false">T30*(VLOOKUP(U30,tab_fator[],3,0))</f>
        <v>6.32E+090</v>
      </c>
      <c r="W30" s="173" t="n">
        <f aca="false">_xlfn.RANK.EQ(V30,$V27:$V31)</f>
        <v>2</v>
      </c>
      <c r="X30" s="174"/>
      <c r="Y30" s="169" t="n">
        <f aca="false">MIN(V30,S30,P30)</f>
        <v>6.32E+090</v>
      </c>
      <c r="Z30" s="169" t="n">
        <f aca="false">MATCH(Y30,M30:V30,0)</f>
        <v>10</v>
      </c>
      <c r="AA30" s="169" t="n">
        <f aca="false">COLUMN($L$1)</f>
        <v>12</v>
      </c>
      <c r="AB30" s="169" t="n">
        <v>2</v>
      </c>
      <c r="AC30" s="169" t="n">
        <f aca="false">Z30+AA30-AB30</f>
        <v>20</v>
      </c>
      <c r="AD30" s="169" t="n">
        <f aca="false">ROW(X30)</f>
        <v>30</v>
      </c>
      <c r="AE30" s="169" t="n">
        <f aca="true" t="array" ref="AE30:AE30">INDIRECT(ADDRESS(AD30,AC30,1,1))</f>
        <v>6.32</v>
      </c>
      <c r="AF30" s="169" t="str">
        <f aca="true" t="array" ref="AF30:AF30">INDIRECT(ADDRESS(AD30,AC30+1,1,1))</f>
        <v>az</v>
      </c>
      <c r="AG30" s="172"/>
      <c r="AH30" s="173" t="str">
        <f aca="false">IF(AND(V30&lt;S30,V30&lt;P30),"Equilibrado","Ver")</f>
        <v>Equilibrado</v>
      </c>
      <c r="AJ30" s="175" t="s">
        <v>106</v>
      </c>
      <c r="AK30" s="176" t="n">
        <v>5</v>
      </c>
      <c r="AL30" s="177" t="n">
        <f aca="false">VLOOKUP($I$12,tab_fator[],2,0)-VLOOKUP(AQ30,tab_fator[],2,0)</f>
        <v>3</v>
      </c>
      <c r="AM30" s="178" t="str">
        <f aca="false">IF(AN30+AT30=6,"Equilibrado","Ver")</f>
        <v>Equilibrado</v>
      </c>
      <c r="AN30" s="176" t="n">
        <f aca="false">_xlfn.RANK.EQ(AO30,AO27:AO31)</f>
        <v>2</v>
      </c>
      <c r="AO30" s="178" t="n">
        <f aca="false">AP30*(VLOOKUP(AQ30,tab_fator[],3,0))</f>
        <v>3.73E+091</v>
      </c>
      <c r="AP30" s="178" t="n">
        <f aca="false">'Transformação-Normal'!Q24</f>
        <v>37.3</v>
      </c>
      <c r="AQ30" s="179" t="str">
        <f aca="false">'Transformação-Normal'!R24</f>
        <v>az</v>
      </c>
      <c r="AR30" s="180" t="n">
        <f aca="false">AO30/SUM(AO27:AO31)</f>
        <v>0.294233651494833</v>
      </c>
      <c r="AS30" s="179"/>
      <c r="AT30" s="181" t="n">
        <f aca="false">_xlfn.RANK.EQ(AU30,$AU$27:$AU$31,1)</f>
        <v>4</v>
      </c>
      <c r="AU30" s="178" t="n">
        <f aca="false">AV30*(VLOOKUP(AW30,tab_fator[],3,0))</f>
        <v>2.36E+102</v>
      </c>
      <c r="AV30" s="178" t="n">
        <v>2.36</v>
      </c>
      <c r="AW30" s="182" t="s">
        <v>76</v>
      </c>
    </row>
    <row r="31" customFormat="false" ht="12.75" hidden="false" customHeight="true" outlineLevel="0" collapsed="false">
      <c r="A31" s="1" t="s">
        <v>100</v>
      </c>
      <c r="B31" s="1" t="n">
        <f aca="false">B30+1</f>
        <v>30</v>
      </c>
      <c r="C31" s="2" t="n">
        <f aca="false">C30*1000</f>
        <v>1E+087</v>
      </c>
      <c r="D31" s="8" t="n">
        <f aca="false">LEN(TEXT(C31,0))</f>
        <v>88</v>
      </c>
      <c r="E31" s="25"/>
      <c r="F31" s="150" t="n">
        <v>100</v>
      </c>
      <c r="G31" s="12"/>
      <c r="H31" s="12" t="s">
        <v>94</v>
      </c>
      <c r="I31" s="12"/>
      <c r="J31" s="12"/>
      <c r="K31" s="16"/>
      <c r="M31" s="71" t="s">
        <v>107</v>
      </c>
      <c r="N31" s="72" t="n">
        <v>12</v>
      </c>
      <c r="O31" s="73" t="s">
        <v>75</v>
      </c>
      <c r="P31" s="184" t="n">
        <f aca="false">N31*(VLOOKUP(O31,tab_fator[],3,0))</f>
        <v>1.2E+091</v>
      </c>
      <c r="Q31" s="72" t="n">
        <v>12.5</v>
      </c>
      <c r="R31" s="73" t="s">
        <v>75</v>
      </c>
      <c r="S31" s="184" t="n">
        <f aca="false">Q31*(VLOOKUP(R31,tab_fator[],3,0))</f>
        <v>1.25E+091</v>
      </c>
      <c r="T31" s="72" t="n">
        <v>11.1</v>
      </c>
      <c r="U31" s="73" t="s">
        <v>75</v>
      </c>
      <c r="V31" s="185" t="n">
        <f aca="false">T31*(VLOOKUP(U31,tab_fator[],3,0))</f>
        <v>1.11E+091</v>
      </c>
      <c r="W31" s="76" t="n">
        <f aca="false">_xlfn.RANK.EQ(V31,$V27:$V31)</f>
        <v>1</v>
      </c>
      <c r="X31" s="185"/>
      <c r="Y31" s="73" t="n">
        <f aca="false">MIN(V31,S31,P31)</f>
        <v>1.11E+091</v>
      </c>
      <c r="Z31" s="73" t="n">
        <f aca="false">MATCH(Y31,M31:V31,0)</f>
        <v>10</v>
      </c>
      <c r="AA31" s="73" t="n">
        <f aca="false">COLUMN($L$1)</f>
        <v>12</v>
      </c>
      <c r="AB31" s="73" t="n">
        <v>2</v>
      </c>
      <c r="AC31" s="73" t="n">
        <f aca="false">Z31+AA31-AB31</f>
        <v>20</v>
      </c>
      <c r="AD31" s="73" t="n">
        <f aca="false">ROW(X31)</f>
        <v>31</v>
      </c>
      <c r="AE31" s="73" t="n">
        <f aca="true" t="array" ref="AE31:AE31">INDIRECT(ADDRESS(AD31,AC31,1,1))</f>
        <v>11.1</v>
      </c>
      <c r="AF31" s="73" t="str">
        <f aca="true" t="array" ref="AF31:AF31">INDIRECT(ADDRESS(AD31,AC31+1,1,1))</f>
        <v>az</v>
      </c>
      <c r="AG31" s="185"/>
      <c r="AH31" s="73" t="str">
        <f aca="false">IF(AND(V31&lt;S31,V31&lt;P31),"Equilibrado","Ver")</f>
        <v>Equilibrado</v>
      </c>
      <c r="AJ31" s="40" t="s">
        <v>107</v>
      </c>
      <c r="AK31" s="36" t="n">
        <v>5</v>
      </c>
      <c r="AL31" s="39" t="n">
        <f aca="false">VLOOKUP($I$12,tab_fator[],2,0)-VLOOKUP(AQ31,tab_fator[],2,0)</f>
        <v>3</v>
      </c>
      <c r="AM31" s="5" t="str">
        <f aca="false">IF(AN31+AT31=6,"Equilibrado","Ver")</f>
        <v>Equilibrado</v>
      </c>
      <c r="AN31" s="36" t="n">
        <f aca="false">_xlfn.RANK.EQ(AO31,AO27:AO31)</f>
        <v>1</v>
      </c>
      <c r="AO31" s="5" t="n">
        <f aca="false">AP31*(VLOOKUP(AQ31,tab_fator[],3,0))</f>
        <v>6.55E+091</v>
      </c>
      <c r="AP31" s="5" t="n">
        <f aca="false">'Transformação-Normal'!Q25</f>
        <v>65.5</v>
      </c>
      <c r="AQ31" s="3" t="str">
        <f aca="false">'Transformação-Normal'!R25</f>
        <v>az</v>
      </c>
      <c r="AR31" s="42" t="n">
        <f aca="false">AO31/SUM(AO27:AO31)</f>
        <v>0.516683757986906</v>
      </c>
      <c r="AS31" s="3"/>
      <c r="AT31" s="11" t="n">
        <f aca="false">_xlfn.RANK.EQ(AU31,$AU$27:$AU$31,1)</f>
        <v>5</v>
      </c>
      <c r="AU31" s="5" t="n">
        <f aca="false">AV31*(VLOOKUP(AW31,tab_fator[],3,0))</f>
        <v>5.89E+102</v>
      </c>
      <c r="AV31" s="5" t="n">
        <v>5.89</v>
      </c>
      <c r="AW31" s="37" t="s">
        <v>76</v>
      </c>
    </row>
    <row r="32" customFormat="false" ht="12.75" hidden="false" customHeight="true" outlineLevel="0" collapsed="false">
      <c r="A32" s="1" t="s">
        <v>75</v>
      </c>
      <c r="B32" s="1" t="n">
        <f aca="false">B31+1</f>
        <v>31</v>
      </c>
      <c r="C32" s="2" t="n">
        <f aca="false">C31*1000</f>
        <v>1E+090</v>
      </c>
      <c r="D32" s="8" t="n">
        <f aca="false">LEN(TEXT(C32,0))</f>
        <v>91</v>
      </c>
      <c r="E32" s="25"/>
      <c r="F32" s="186" t="n">
        <v>200</v>
      </c>
      <c r="G32" s="187"/>
      <c r="H32" s="148" t="s">
        <v>94</v>
      </c>
      <c r="I32" s="148"/>
      <c r="J32" s="148"/>
      <c r="K32" s="16"/>
      <c r="AJ32" s="188" t="s">
        <v>61</v>
      </c>
      <c r="AK32" s="151" t="str">
        <f aca="false">CONCATENATE(SUM(AK27:AK31)," / ",6*5)</f>
        <v>25 / 30</v>
      </c>
      <c r="AL32" s="151"/>
      <c r="AM32" s="151"/>
      <c r="AN32" s="189"/>
      <c r="AO32" s="189"/>
      <c r="AP32" s="189" t="str">
        <f aca="false">IF(AS27/AS29&lt;10,(TEXT(AS27/AS29,"#,##")),IF(AS27/AS29&lt;100,TEXT(AS27/AS29,"##,#"),TEXT(AS27/AS29,"###")))</f>
        <v>127</v>
      </c>
      <c r="AQ32" s="189" t="str">
        <f aca="false">AS28</f>
        <v>az</v>
      </c>
      <c r="AR32" s="190"/>
      <c r="AS32" s="189"/>
      <c r="AT32" s="191" t="str">
        <f aca="false">IF((AP32*VLOOKUP(AQ32,tab_fator[],3,0))&gt;(_xlfn.XLOOKUP(1,AT27:AT31,AV27:AV31,"",0,1)*VLOOKUP((_xlfn.XLOOKUP(1,AT27:AT31,AW27:AW31,"",0,1)),tab_fator[],3,0)),"Pronto","Esperar")</f>
        <v>Esperar</v>
      </c>
      <c r="AU32" s="191"/>
      <c r="AV32" s="191"/>
      <c r="AW32" s="191"/>
    </row>
    <row r="33" customFormat="false" ht="12.75" hidden="false" customHeight="true" outlineLevel="0" collapsed="false">
      <c r="A33" s="1" t="s">
        <v>79</v>
      </c>
      <c r="B33" s="1" t="n">
        <f aca="false">B32+1</f>
        <v>32</v>
      </c>
      <c r="C33" s="2" t="n">
        <f aca="false">C32*1000</f>
        <v>1E+093</v>
      </c>
      <c r="D33" s="8" t="n">
        <f aca="false">LEN(TEXT(C33,0))</f>
        <v>94</v>
      </c>
      <c r="E33" s="25"/>
      <c r="F33" s="150" t="n">
        <v>500</v>
      </c>
      <c r="G33" s="9"/>
      <c r="H33" s="12" t="s">
        <v>94</v>
      </c>
      <c r="I33" s="12"/>
      <c r="J33" s="12"/>
      <c r="K33" s="16"/>
    </row>
    <row r="34" customFormat="false" ht="12.75" hidden="false" customHeight="true" outlineLevel="0" collapsed="false">
      <c r="A34" s="1" t="s">
        <v>38</v>
      </c>
      <c r="B34" s="1" t="n">
        <f aca="false">B33+1</f>
        <v>33</v>
      </c>
      <c r="C34" s="2" t="n">
        <f aca="false">C33*1000</f>
        <v>1E+096</v>
      </c>
      <c r="D34" s="8" t="n">
        <f aca="false">LEN(TEXT(C34,0))</f>
        <v>97</v>
      </c>
      <c r="E34" s="25"/>
      <c r="F34" s="186" t="n">
        <v>1000</v>
      </c>
      <c r="G34" s="187"/>
      <c r="H34" s="148" t="s">
        <v>94</v>
      </c>
      <c r="I34" s="148"/>
      <c r="J34" s="148"/>
      <c r="K34" s="16"/>
      <c r="AJ34" s="192" t="s">
        <v>108</v>
      </c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192"/>
      <c r="AV34" s="192"/>
      <c r="AW34" s="192"/>
    </row>
    <row r="35" customFormat="false" ht="12.75" hidden="false" customHeight="true" outlineLevel="0" collapsed="false">
      <c r="A35" s="1" t="s">
        <v>49</v>
      </c>
      <c r="B35" s="1" t="n">
        <f aca="false">B34+1</f>
        <v>34</v>
      </c>
      <c r="C35" s="2" t="n">
        <f aca="false">C34*1000</f>
        <v>1E+099</v>
      </c>
      <c r="D35" s="8" t="n">
        <f aca="false">LEN(TEXT(C35,0))</f>
        <v>100</v>
      </c>
      <c r="E35" s="25"/>
      <c r="F35" s="150" t="n">
        <v>4000</v>
      </c>
      <c r="G35" s="9"/>
      <c r="H35" s="12" t="s">
        <v>94</v>
      </c>
      <c r="I35" s="12"/>
      <c r="J35" s="12"/>
      <c r="K35" s="16"/>
      <c r="M35" s="193" t="s">
        <v>108</v>
      </c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  <c r="AH35" s="193"/>
      <c r="AJ35" s="194" t="s">
        <v>12</v>
      </c>
      <c r="AK35" s="195" t="s">
        <v>69</v>
      </c>
      <c r="AL35" s="196" t="s">
        <v>14</v>
      </c>
      <c r="AM35" s="197" t="s">
        <v>15</v>
      </c>
      <c r="AN35" s="198" t="s">
        <v>16</v>
      </c>
      <c r="AO35" s="198"/>
      <c r="AP35" s="198"/>
      <c r="AQ35" s="198"/>
      <c r="AR35" s="198"/>
      <c r="AS35" s="199"/>
      <c r="AT35" s="198" t="s">
        <v>17</v>
      </c>
      <c r="AU35" s="198"/>
      <c r="AV35" s="198"/>
      <c r="AW35" s="198"/>
    </row>
    <row r="36" customFormat="false" ht="12.75" hidden="false" customHeight="true" outlineLevel="0" collapsed="false">
      <c r="A36" s="1" t="s">
        <v>76</v>
      </c>
      <c r="B36" s="1" t="n">
        <f aca="false">B35+1</f>
        <v>35</v>
      </c>
      <c r="C36" s="2" t="n">
        <f aca="false">C35*1000</f>
        <v>1E+102</v>
      </c>
      <c r="D36" s="8" t="n">
        <f aca="false">LEN(TEXT(C36,0))</f>
        <v>103</v>
      </c>
      <c r="E36" s="25"/>
      <c r="F36" s="186" t="n">
        <v>5000</v>
      </c>
      <c r="G36" s="187"/>
      <c r="H36" s="148" t="s">
        <v>94</v>
      </c>
      <c r="I36" s="148"/>
      <c r="J36" s="148"/>
      <c r="K36" s="16"/>
      <c r="M36" s="200" t="s">
        <v>12</v>
      </c>
      <c r="N36" s="200" t="s">
        <v>20</v>
      </c>
      <c r="O36" s="200"/>
      <c r="P36" s="201" t="s">
        <v>21</v>
      </c>
      <c r="Q36" s="200" t="s">
        <v>22</v>
      </c>
      <c r="R36" s="200"/>
      <c r="S36" s="201" t="s">
        <v>23</v>
      </c>
      <c r="T36" s="200" t="s">
        <v>24</v>
      </c>
      <c r="U36" s="200"/>
      <c r="V36" s="202" t="s">
        <v>25</v>
      </c>
      <c r="W36" s="203" t="s">
        <v>26</v>
      </c>
      <c r="X36" s="202"/>
      <c r="Y36" s="204" t="s">
        <v>2</v>
      </c>
      <c r="Z36" s="204" t="s">
        <v>27</v>
      </c>
      <c r="AA36" s="204" t="s">
        <v>28</v>
      </c>
      <c r="AB36" s="204" t="s">
        <v>29</v>
      </c>
      <c r="AC36" s="204" t="s">
        <v>30</v>
      </c>
      <c r="AD36" s="204" t="s">
        <v>31</v>
      </c>
      <c r="AE36" s="203" t="s">
        <v>32</v>
      </c>
      <c r="AF36" s="203"/>
      <c r="AG36" s="202"/>
      <c r="AH36" s="203" t="s">
        <v>15</v>
      </c>
      <c r="AJ36" s="194"/>
      <c r="AK36" s="200" t="s">
        <v>9</v>
      </c>
      <c r="AL36" s="196"/>
      <c r="AM36" s="197"/>
      <c r="AN36" s="205" t="s">
        <v>26</v>
      </c>
      <c r="AO36" s="205"/>
      <c r="AP36" s="205" t="s">
        <v>2</v>
      </c>
      <c r="AQ36" s="205" t="s">
        <v>33</v>
      </c>
      <c r="AR36" s="206" t="s">
        <v>34</v>
      </c>
      <c r="AS36" s="205"/>
      <c r="AT36" s="205" t="s">
        <v>26</v>
      </c>
      <c r="AU36" s="205" t="s">
        <v>35</v>
      </c>
      <c r="AV36" s="205" t="s">
        <v>2</v>
      </c>
      <c r="AW36" s="207" t="s">
        <v>33</v>
      </c>
    </row>
    <row r="37" customFormat="false" ht="12.75" hidden="false" customHeight="true" outlineLevel="0" collapsed="false">
      <c r="A37" s="1" t="s">
        <v>57</v>
      </c>
      <c r="B37" s="1" t="n">
        <f aca="false">B36+1</f>
        <v>36</v>
      </c>
      <c r="C37" s="2" t="n">
        <f aca="false">C36*1000</f>
        <v>1E+105</v>
      </c>
      <c r="D37" s="8" t="n">
        <f aca="false">LEN(TEXT(C37,0))</f>
        <v>106</v>
      </c>
      <c r="E37" s="25"/>
      <c r="F37" s="8"/>
      <c r="G37" s="8"/>
      <c r="H37" s="208"/>
      <c r="I37" s="16"/>
      <c r="J37" s="16"/>
      <c r="K37" s="16"/>
      <c r="M37" s="35" t="s">
        <v>109</v>
      </c>
      <c r="N37" s="36" t="n">
        <v>1.09</v>
      </c>
      <c r="O37" s="37" t="s">
        <v>103</v>
      </c>
      <c r="P37" s="4" t="n">
        <f aca="false">N37*(VLOOKUP(O37,tab_fator[],3,0))</f>
        <v>1.09E+081</v>
      </c>
      <c r="Q37" s="36" t="n">
        <v>1.11</v>
      </c>
      <c r="R37" s="37" t="s">
        <v>103</v>
      </c>
      <c r="S37" s="4" t="n">
        <f aca="false">Q37*(VLOOKUP(R37,tab_fator[],3,0))</f>
        <v>1.11E+081</v>
      </c>
      <c r="T37" s="36" t="n">
        <v>1.03</v>
      </c>
      <c r="U37" s="37" t="s">
        <v>103</v>
      </c>
      <c r="V37" s="167" t="n">
        <f aca="false">T37*(VLOOKUP(U37,tab_fator[],3,0))</f>
        <v>1.03E+081</v>
      </c>
      <c r="W37" s="39" t="n">
        <f aca="false">_xlfn.RANK.EQ(V37,$V37:$V41)</f>
        <v>1</v>
      </c>
      <c r="X37" s="167"/>
      <c r="Y37" s="39" t="n">
        <f aca="false">MIN(V37,S37,P37)</f>
        <v>1.03E+081</v>
      </c>
      <c r="Z37" s="39" t="n">
        <f aca="false">MATCH(Y37,M37:V37,0)</f>
        <v>10</v>
      </c>
      <c r="AA37" s="39" t="n">
        <f aca="false">COLUMN($L$1)</f>
        <v>12</v>
      </c>
      <c r="AB37" s="39" t="n">
        <v>2</v>
      </c>
      <c r="AC37" s="39" t="n">
        <f aca="false">Z37+AA37-AB37</f>
        <v>20</v>
      </c>
      <c r="AD37" s="39" t="n">
        <f aca="false">ROW(X37)</f>
        <v>37</v>
      </c>
      <c r="AE37" s="39" t="n">
        <f aca="true" t="array" ref="AE37:AE37">INDIRECT(ADDRESS(AD37,AC37,1,1))</f>
        <v>1.03</v>
      </c>
      <c r="AF37" s="37" t="str">
        <f aca="true" t="array" ref="AF37:AF37">INDIRECT(ADDRESS(AD37,AC37+1,1,1))</f>
        <v>aw</v>
      </c>
      <c r="AG37" s="167"/>
      <c r="AH37" s="37" t="str">
        <f aca="false">IF(AND(V37&lt;S37,V37&lt;P37),"Equilibrado","Ver")</f>
        <v>Equilibrado</v>
      </c>
      <c r="AJ37" s="40" t="s">
        <v>109</v>
      </c>
      <c r="AK37" s="36" t="n">
        <v>5</v>
      </c>
      <c r="AL37" s="39" t="n">
        <f aca="false">VLOOKUP($I$13,tab_fator[],2,0)-VLOOKUP(AQ37,tab_fator[],2,0)</f>
        <v>2</v>
      </c>
      <c r="AM37" s="5" t="str">
        <f aca="false">IF(AN37+AT37=6,"Equilibrado","Ver")</f>
        <v>Equilibrado</v>
      </c>
      <c r="AN37" s="36" t="n">
        <f aca="false">_xlfn.RANK.EQ(AO37,AO37:AO41)</f>
        <v>1</v>
      </c>
      <c r="AO37" s="5" t="n">
        <f aca="false">AP37*(VLOOKUP(AQ37,tab_fator[],3,0))</f>
        <v>6.08E+081</v>
      </c>
      <c r="AP37" s="5" t="n">
        <f aca="false">'Transformação-Normal'!Q28</f>
        <v>6.08</v>
      </c>
      <c r="AQ37" s="3" t="str">
        <f aca="false">'Transformação-Normal'!R28</f>
        <v>aw</v>
      </c>
      <c r="AR37" s="42" t="n">
        <f aca="false">AO37/SUM(AO37:AO41)</f>
        <v>0.427837590598832</v>
      </c>
      <c r="AS37" s="209" t="n">
        <f aca="false">(AP37*VLOOKUP(AQ37,tab_fator[],3,0))+
(AP38*VLOOKUP(AQ38,tab_fator[],3,0))+
(AP39*VLOOKUP(AQ39,tab_fator[],3,0))+
(AP40*VLOOKUP(AQ40,tab_fator[],3,0))+
(AP41*VLOOKUP(AQ41,tab_fator[],3,0))</f>
        <v>1.4211E+082</v>
      </c>
      <c r="AT37" s="41" t="n">
        <f aca="false">_xlfn.RANK.EQ(AU37,$AU$37:$AU$41,1)</f>
        <v>5</v>
      </c>
      <c r="AU37" s="5" t="n">
        <f aca="false">AV37*(VLOOKUP(AW37,tab_fator[],3,0))</f>
        <v>8.26E+100</v>
      </c>
      <c r="AV37" s="5" t="n">
        <v>82.6</v>
      </c>
      <c r="AW37" s="37" t="s">
        <v>49</v>
      </c>
    </row>
    <row r="38" customFormat="false" ht="12.75" hidden="false" customHeight="true" outlineLevel="0" collapsed="false">
      <c r="A38" s="1" t="s">
        <v>110</v>
      </c>
      <c r="B38" s="1" t="n">
        <f aca="false">B37+1</f>
        <v>37</v>
      </c>
      <c r="C38" s="2" t="n">
        <f aca="false">C37*1000</f>
        <v>1E+108</v>
      </c>
      <c r="D38" s="8" t="n">
        <f aca="false">LEN(TEXT(C38,0))</f>
        <v>109</v>
      </c>
      <c r="E38" s="25"/>
      <c r="F38" s="8" t="s">
        <v>111</v>
      </c>
      <c r="G38" s="16" t="n">
        <f aca="false">SUMIF(G23:G36,"S",F23:F36)+4</f>
        <v>20</v>
      </c>
      <c r="H38" s="16"/>
      <c r="I38" s="16"/>
      <c r="J38" s="16"/>
      <c r="K38" s="16"/>
      <c r="M38" s="210" t="s">
        <v>112</v>
      </c>
      <c r="N38" s="210" t="n">
        <v>32.4</v>
      </c>
      <c r="O38" s="211" t="s">
        <v>101</v>
      </c>
      <c r="P38" s="212" t="n">
        <f aca="false">N38*(VLOOKUP(O38,tab_fator[],3,0))</f>
        <v>3.24E+079</v>
      </c>
      <c r="Q38" s="210" t="n">
        <v>32.6</v>
      </c>
      <c r="R38" s="211" t="s">
        <v>101</v>
      </c>
      <c r="S38" s="213" t="n">
        <f aca="false">Q38*(VLOOKUP(R38,tab_fator[],3,0))</f>
        <v>3.26E+079</v>
      </c>
      <c r="T38" s="210" t="n">
        <v>31.9</v>
      </c>
      <c r="U38" s="211" t="s">
        <v>101</v>
      </c>
      <c r="V38" s="214" t="n">
        <f aca="false">T38*(VLOOKUP(U38,tab_fator[],3,0))</f>
        <v>3.19E+079</v>
      </c>
      <c r="W38" s="215" t="n">
        <f aca="false">_xlfn.RANK.EQ(V38,$V37:$V41)</f>
        <v>5</v>
      </c>
      <c r="X38" s="216"/>
      <c r="Y38" s="215" t="n">
        <f aca="false">MIN(V38,S38,P38)</f>
        <v>3.19E+079</v>
      </c>
      <c r="Z38" s="215" t="n">
        <f aca="false">MATCH(Y38,M38:V38,0)</f>
        <v>10</v>
      </c>
      <c r="AA38" s="215" t="n">
        <f aca="false">COLUMN($L$1)</f>
        <v>12</v>
      </c>
      <c r="AB38" s="215" t="n">
        <v>2</v>
      </c>
      <c r="AC38" s="215" t="n">
        <f aca="false">Z38+AA38-AB38</f>
        <v>20</v>
      </c>
      <c r="AD38" s="215" t="n">
        <f aca="false">ROW(X38)</f>
        <v>38</v>
      </c>
      <c r="AE38" s="211" t="n">
        <f aca="true" t="array" ref="AE38:AE38">INDIRECT(ADDRESS(AD38,AC38,1,1))</f>
        <v>31.9</v>
      </c>
      <c r="AF38" s="211" t="str">
        <f aca="true" t="array" ref="AF38:AF38">INDIRECT(ADDRESS(AD38,AC38+1,1,1))</f>
        <v>av</v>
      </c>
      <c r="AG38" s="214"/>
      <c r="AH38" s="215" t="str">
        <f aca="false">IF(AND(V38&lt;S38,V38&lt;P38),"Equilibrado","Ver")</f>
        <v>Equilibrado</v>
      </c>
      <c r="AJ38" s="213" t="s">
        <v>112</v>
      </c>
      <c r="AK38" s="217" t="n">
        <v>4</v>
      </c>
      <c r="AL38" s="218" t="n">
        <f aca="false">VLOOKUP($I$13,tab_fator[],2,0)-VLOOKUP(AQ38,tab_fator[],2,0)</f>
        <v>3</v>
      </c>
      <c r="AM38" s="219" t="str">
        <f aca="false">IF(AN38+AT38=6,"Equilibrado","Ver")</f>
        <v>Equilibrado</v>
      </c>
      <c r="AN38" s="217" t="n">
        <f aca="false">_xlfn.RANK.EQ(AO38,AO37:AO41)</f>
        <v>5</v>
      </c>
      <c r="AO38" s="219" t="n">
        <f aca="false">AP38*(VLOOKUP(AQ38,tab_fator[],3,0))</f>
        <v>1.88E+080</v>
      </c>
      <c r="AP38" s="219" t="n">
        <f aca="false">'Transformação-Normal'!Q29</f>
        <v>188</v>
      </c>
      <c r="AQ38" s="219" t="str">
        <f aca="false">'Transformação-Normal'!R29</f>
        <v>av</v>
      </c>
      <c r="AR38" s="220" t="n">
        <f aca="false">AO38/SUM(AO37:AO41)</f>
        <v>0.0132291886566744</v>
      </c>
      <c r="AS38" s="211" t="str">
        <f aca="false">_xlfn.XLOOKUP((LEN(TEXT(AS37,0))),tab_fator[Dgts],tab_fator[Fator],"errro",-1,1)</f>
        <v>aw</v>
      </c>
      <c r="AT38" s="221" t="n">
        <f aca="false">_xlfn.RANK.EQ(AU38,$AU$37:$AU$41,1)</f>
        <v>1</v>
      </c>
      <c r="AU38" s="219" t="n">
        <f aca="false">AV38*(VLOOKUP(AW38,tab_fator[],3,0))</f>
        <v>1.51E+088</v>
      </c>
      <c r="AV38" s="219" t="n">
        <v>15.1</v>
      </c>
      <c r="AW38" s="211" t="s">
        <v>100</v>
      </c>
    </row>
    <row r="39" customFormat="false" ht="12.75" hidden="false" customHeight="true" outlineLevel="0" collapsed="false">
      <c r="A39" s="1" t="s">
        <v>39</v>
      </c>
      <c r="B39" s="1" t="n">
        <f aca="false">B38+1</f>
        <v>38</v>
      </c>
      <c r="C39" s="2" t="n">
        <f aca="false">C38*1000</f>
        <v>1E+111</v>
      </c>
      <c r="D39" s="8" t="n">
        <f aca="false">LEN(TEXT(C39,0))</f>
        <v>112</v>
      </c>
      <c r="E39" s="25"/>
      <c r="F39" s="222" t="s">
        <v>113</v>
      </c>
      <c r="G39" s="223" t="n">
        <v>2.95</v>
      </c>
      <c r="H39" s="16"/>
      <c r="I39" s="16"/>
      <c r="J39" s="16"/>
      <c r="K39" s="16"/>
      <c r="M39" s="35" t="s">
        <v>114</v>
      </c>
      <c r="N39" s="36" t="n">
        <v>289</v>
      </c>
      <c r="O39" s="37" t="s">
        <v>101</v>
      </c>
      <c r="P39" s="4" t="n">
        <f aca="false">N39*(VLOOKUP(O39,tab_fator[],3,0))</f>
        <v>2.89E+080</v>
      </c>
      <c r="Q39" s="36" t="n">
        <v>681</v>
      </c>
      <c r="R39" s="37" t="s">
        <v>101</v>
      </c>
      <c r="S39" s="4" t="n">
        <f aca="false">Q39*(VLOOKUP(R39,tab_fator[],3,0))</f>
        <v>6.81E+080</v>
      </c>
      <c r="T39" s="36" t="n">
        <v>282</v>
      </c>
      <c r="U39" s="37" t="s">
        <v>101</v>
      </c>
      <c r="V39" s="167" t="n">
        <f aca="false">T39*(VLOOKUP(U39,tab_fator[],3,0))</f>
        <v>2.82E+080</v>
      </c>
      <c r="W39" s="39" t="n">
        <f aca="false">_xlfn.RANK.EQ(V39,$V37:$V41)</f>
        <v>3</v>
      </c>
      <c r="X39" s="167"/>
      <c r="Y39" s="39" t="n">
        <f aca="false">MIN(V39,S39,P39)</f>
        <v>2.82E+080</v>
      </c>
      <c r="Z39" s="39" t="n">
        <f aca="false">MATCH(Y39,M39:V39,0)</f>
        <v>10</v>
      </c>
      <c r="AA39" s="39" t="n">
        <f aca="false">COLUMN($L$1)</f>
        <v>12</v>
      </c>
      <c r="AB39" s="39" t="n">
        <v>2</v>
      </c>
      <c r="AC39" s="39" t="n">
        <f aca="false">Z39+AA39-AB39</f>
        <v>20</v>
      </c>
      <c r="AD39" s="39" t="n">
        <f aca="false">ROW(X39)</f>
        <v>39</v>
      </c>
      <c r="AE39" s="39" t="n">
        <f aca="true" t="array" ref="AE39:AE39">INDIRECT(ADDRESS(AD39,AC39,1,1))</f>
        <v>282</v>
      </c>
      <c r="AF39" s="37" t="str">
        <f aca="true" t="array" ref="AF39:AF39">INDIRECT(ADDRESS(AD39,AC39+1,1,1))</f>
        <v>av</v>
      </c>
      <c r="AG39" s="167"/>
      <c r="AH39" s="37" t="str">
        <f aca="false">IF(AND(V39&lt;S39,V39&lt;P39),"Equilibrado","Ver")</f>
        <v>Equilibrado</v>
      </c>
      <c r="AJ39" s="40" t="s">
        <v>114</v>
      </c>
      <c r="AK39" s="36" t="n">
        <v>4</v>
      </c>
      <c r="AL39" s="39" t="n">
        <f aca="false">VLOOKUP($I$13,tab_fator[],2,0)-VLOOKUP(AQ39,tab_fator[],2,0)</f>
        <v>2</v>
      </c>
      <c r="AM39" s="5" t="str">
        <f aca="false">IF(AN39+AT39=6,"Equilibrado","Ver")</f>
        <v>Equilibrado</v>
      </c>
      <c r="AN39" s="36" t="n">
        <f aca="false">_xlfn.RANK.EQ(AO39,AO37:AO41)</f>
        <v>3</v>
      </c>
      <c r="AO39" s="5" t="n">
        <f aca="false">AP39*(VLOOKUP(AQ39,tab_fator[],3,0))</f>
        <v>1.66E+081</v>
      </c>
      <c r="AP39" s="5" t="n">
        <f aca="false">'Transformação-Normal'!Q30</f>
        <v>1.66</v>
      </c>
      <c r="AQ39" s="3" t="str">
        <f aca="false">'Transformação-Normal'!R30</f>
        <v>aw</v>
      </c>
      <c r="AR39" s="42" t="n">
        <f aca="false">AO39/SUM(AO37:AO41)</f>
        <v>0.116810921117444</v>
      </c>
      <c r="AS39" s="37" t="n">
        <f aca="false">VLOOKUP(AS38,tab_fator[],3,0)</f>
        <v>1E+081</v>
      </c>
      <c r="AT39" s="41" t="n">
        <f aca="false">_xlfn.RANK.EQ(AU39,$AU$37:$AU$41,1)</f>
        <v>3</v>
      </c>
      <c r="AU39" s="5" t="n">
        <f aca="false">AV39*(VLOOKUP(AW39,tab_fator[],3,0))</f>
        <v>1.4E+091</v>
      </c>
      <c r="AV39" s="5" t="n">
        <v>14</v>
      </c>
      <c r="AW39" s="37" t="s">
        <v>75</v>
      </c>
    </row>
    <row r="40" customFormat="false" ht="12.75" hidden="false" customHeight="true" outlineLevel="0" collapsed="false">
      <c r="A40" s="1" t="s">
        <v>115</v>
      </c>
      <c r="B40" s="1" t="n">
        <f aca="false">B39+1</f>
        <v>39</v>
      </c>
      <c r="C40" s="2" t="n">
        <f aca="false">C39*1000</f>
        <v>1E+114</v>
      </c>
      <c r="D40" s="8" t="n">
        <f aca="false">LEN(TEXT(C40,0))</f>
        <v>115</v>
      </c>
      <c r="E40" s="25"/>
      <c r="F40" s="8"/>
      <c r="G40" s="16"/>
      <c r="H40" s="16"/>
      <c r="I40" s="16"/>
      <c r="J40" s="16"/>
      <c r="K40" s="16"/>
      <c r="M40" s="210" t="s">
        <v>116</v>
      </c>
      <c r="N40" s="210" t="n">
        <v>46.5</v>
      </c>
      <c r="O40" s="211" t="s">
        <v>101</v>
      </c>
      <c r="P40" s="212" t="n">
        <f aca="false">N40*(VLOOKUP(O40,tab_fator[],3,0))</f>
        <v>4.65E+079</v>
      </c>
      <c r="Q40" s="210" t="n">
        <v>46.9</v>
      </c>
      <c r="R40" s="211" t="s">
        <v>101</v>
      </c>
      <c r="S40" s="213" t="n">
        <f aca="false">Q40*(VLOOKUP(R40,tab_fator[],3,0))</f>
        <v>4.69E+079</v>
      </c>
      <c r="T40" s="210" t="n">
        <v>44.6</v>
      </c>
      <c r="U40" s="211" t="s">
        <v>101</v>
      </c>
      <c r="V40" s="214" t="n">
        <f aca="false">T40*(VLOOKUP(U40,tab_fator[],3,0))</f>
        <v>4.46E+079</v>
      </c>
      <c r="W40" s="215" t="n">
        <f aca="false">_xlfn.RANK.EQ(V40,$V37:$V41)</f>
        <v>4</v>
      </c>
      <c r="X40" s="216"/>
      <c r="Y40" s="215" t="n">
        <f aca="false">MIN(V40,S40,P40)</f>
        <v>4.46E+079</v>
      </c>
      <c r="Z40" s="215" t="n">
        <f aca="false">MATCH(Y40,M40:V40,0)</f>
        <v>10</v>
      </c>
      <c r="AA40" s="215" t="n">
        <f aca="false">COLUMN($L$1)</f>
        <v>12</v>
      </c>
      <c r="AB40" s="215" t="n">
        <v>2</v>
      </c>
      <c r="AC40" s="215" t="n">
        <f aca="false">Z40+AA40-AB40</f>
        <v>20</v>
      </c>
      <c r="AD40" s="215" t="n">
        <f aca="false">ROW(X40)</f>
        <v>40</v>
      </c>
      <c r="AE40" s="211" t="n">
        <f aca="true" t="array" ref="AE40:AE40">INDIRECT(ADDRESS(AD40,AC40,1,1))</f>
        <v>44.6</v>
      </c>
      <c r="AF40" s="211" t="str">
        <f aca="true" t="array" ref="AF40:AF40">INDIRECT(ADDRESS(AD40,AC40+1,1,1))</f>
        <v>av</v>
      </c>
      <c r="AG40" s="214"/>
      <c r="AH40" s="215" t="str">
        <f aca="false">IF(AND(V40&lt;S40,V40&lt;P40),"Equilibrado","Ver")</f>
        <v>Equilibrado</v>
      </c>
      <c r="AJ40" s="213" t="s">
        <v>116</v>
      </c>
      <c r="AK40" s="217" t="n">
        <v>3</v>
      </c>
      <c r="AL40" s="218" t="n">
        <f aca="false">VLOOKUP($I$13,tab_fator[],2,0)-VLOOKUP(AQ40,tab_fator[],2,0)</f>
        <v>3</v>
      </c>
      <c r="AM40" s="219" t="str">
        <f aca="false">IF(AN40+AT40=6,"Equilibrado","Ver")</f>
        <v>Equilibrado</v>
      </c>
      <c r="AN40" s="217" t="n">
        <f aca="false">_xlfn.RANK.EQ(AO40,AO37:AO41)</f>
        <v>4</v>
      </c>
      <c r="AO40" s="219" t="n">
        <f aca="false">AP40*(VLOOKUP(AQ40,tab_fator[],3,0))</f>
        <v>2.63E+080</v>
      </c>
      <c r="AP40" s="219" t="n">
        <f aca="false">'Transformação-Normal'!Q31</f>
        <v>263</v>
      </c>
      <c r="AQ40" s="224" t="str">
        <f aca="false">'Transformação-Normal'!R31</f>
        <v>av</v>
      </c>
      <c r="AR40" s="225" t="n">
        <f aca="false">AO40/SUM(AO37:AO41)</f>
        <v>0.0185067905143903</v>
      </c>
      <c r="AS40" s="211"/>
      <c r="AT40" s="221" t="n">
        <f aca="false">_xlfn.RANK.EQ(AU40,$AU$37:$AU$41,1)</f>
        <v>2</v>
      </c>
      <c r="AU40" s="219" t="n">
        <f aca="false">AV40*(VLOOKUP(AW40,tab_fator[],3,0))</f>
        <v>6.28E+089</v>
      </c>
      <c r="AV40" s="219" t="n">
        <v>628</v>
      </c>
      <c r="AW40" s="211" t="s">
        <v>100</v>
      </c>
    </row>
    <row r="41" customFormat="false" ht="12.75" hidden="false" customHeight="true" outlineLevel="0" collapsed="false">
      <c r="A41" s="1" t="s">
        <v>117</v>
      </c>
      <c r="B41" s="1" t="n">
        <f aca="false">B40+1</f>
        <v>40</v>
      </c>
      <c r="C41" s="2" t="n">
        <f aca="false">C40*1000</f>
        <v>1E+117</v>
      </c>
      <c r="D41" s="8" t="n">
        <f aca="false">LEN(TEXT(C41,0))</f>
        <v>118</v>
      </c>
      <c r="E41" s="25"/>
      <c r="F41" s="8"/>
      <c r="G41" s="226"/>
      <c r="H41" s="16"/>
      <c r="I41" s="16"/>
      <c r="J41" s="16"/>
      <c r="K41" s="16"/>
      <c r="M41" s="71" t="s">
        <v>118</v>
      </c>
      <c r="N41" s="72" t="n">
        <v>1.24</v>
      </c>
      <c r="O41" s="73" t="s">
        <v>103</v>
      </c>
      <c r="P41" s="184" t="n">
        <f aca="false">N41*(VLOOKUP(O41,tab_fator[],3,0))</f>
        <v>1.24E+081</v>
      </c>
      <c r="Q41" s="72" t="n">
        <v>1.08</v>
      </c>
      <c r="R41" s="73" t="s">
        <v>103</v>
      </c>
      <c r="S41" s="184" t="n">
        <f aca="false">Q41*(VLOOKUP(R41,tab_fator[],3,0))</f>
        <v>1.08E+081</v>
      </c>
      <c r="T41" s="72" t="n">
        <v>1.02</v>
      </c>
      <c r="U41" s="73" t="s">
        <v>103</v>
      </c>
      <c r="V41" s="185" t="n">
        <f aca="false">T41*(VLOOKUP(U41,tab_fator[],3,0))</f>
        <v>1.02E+081</v>
      </c>
      <c r="W41" s="76" t="n">
        <f aca="false">_xlfn.RANK.EQ(V41,$V37:$V41)</f>
        <v>2</v>
      </c>
      <c r="X41" s="185"/>
      <c r="Y41" s="76" t="n">
        <f aca="false">MIN(V41,S41,P41)</f>
        <v>1.02E+081</v>
      </c>
      <c r="Z41" s="76" t="n">
        <f aca="false">MATCH(Y41,M41:V41,0)</f>
        <v>10</v>
      </c>
      <c r="AA41" s="76" t="n">
        <f aca="false">COLUMN($L$1)</f>
        <v>12</v>
      </c>
      <c r="AB41" s="76" t="n">
        <v>2</v>
      </c>
      <c r="AC41" s="76" t="n">
        <f aca="false">Z41+AA41-AB41</f>
        <v>20</v>
      </c>
      <c r="AD41" s="76" t="n">
        <f aca="false">ROW(X41)</f>
        <v>41</v>
      </c>
      <c r="AE41" s="76" t="n">
        <f aca="true" t="array" ref="AE41:AE41">INDIRECT(ADDRESS(AD41,AC41,1,1))</f>
        <v>1.02</v>
      </c>
      <c r="AF41" s="73" t="str">
        <f aca="true" t="array" ref="AF41:AF41">INDIRECT(ADDRESS(AD41,AC41+1,1,1))</f>
        <v>aw</v>
      </c>
      <c r="AG41" s="185"/>
      <c r="AH41" s="73" t="str">
        <f aca="false">IF(AND(V41&lt;S41,V41&lt;P41),"Equilibrado","Ver")</f>
        <v>Equilibrado</v>
      </c>
      <c r="AJ41" s="40" t="s">
        <v>118</v>
      </c>
      <c r="AK41" s="36" t="n">
        <v>3</v>
      </c>
      <c r="AL41" s="39" t="n">
        <f aca="false">VLOOKUP($I$13,tab_fator[],2,0)-VLOOKUP(AQ41,tab_fator[],2,0)</f>
        <v>2</v>
      </c>
      <c r="AM41" s="5" t="str">
        <f aca="false">IF(AN41+AT41=6,"Equilibrado","Ver")</f>
        <v>Equilibrado</v>
      </c>
      <c r="AN41" s="36" t="n">
        <f aca="false">_xlfn.RANK.EQ(AO41,AO37:AO41)</f>
        <v>2</v>
      </c>
      <c r="AO41" s="5" t="n">
        <f aca="false">AP41*(VLOOKUP(AQ41,tab_fator[],3,0))</f>
        <v>6.02E+081</v>
      </c>
      <c r="AP41" s="5" t="n">
        <f aca="false">'Transformação-Normal'!Q32</f>
        <v>6.02</v>
      </c>
      <c r="AQ41" s="3" t="str">
        <f aca="false">'Transformação-Normal'!R32</f>
        <v>aw</v>
      </c>
      <c r="AR41" s="42" t="n">
        <f aca="false">AO41/SUM(AO37:AO41)</f>
        <v>0.423615509112659</v>
      </c>
      <c r="AS41" s="37"/>
      <c r="AT41" s="41" t="n">
        <f aca="false">_xlfn.RANK.EQ(AU41,$AU$37:$AU$41,1)</f>
        <v>4</v>
      </c>
      <c r="AU41" s="5" t="n">
        <f aca="false">AV41*(VLOOKUP(AW41,tab_fator[],3,0))</f>
        <v>4.32E+094</v>
      </c>
      <c r="AV41" s="5" t="n">
        <v>43.2</v>
      </c>
      <c r="AW41" s="37" t="s">
        <v>79</v>
      </c>
    </row>
    <row r="42" customFormat="false" ht="12.75" hidden="false" customHeight="true" outlineLevel="0" collapsed="false">
      <c r="A42" s="1" t="s">
        <v>119</v>
      </c>
      <c r="B42" s="1" t="n">
        <f aca="false">B41+1</f>
        <v>41</v>
      </c>
      <c r="C42" s="2" t="n">
        <f aca="false">C41*1000</f>
        <v>1E+120</v>
      </c>
      <c r="D42" s="8" t="n">
        <f aca="false">LEN(TEXT(C42,0))</f>
        <v>121</v>
      </c>
      <c r="E42" s="25"/>
      <c r="F42" s="8"/>
      <c r="G42" s="8"/>
      <c r="H42" s="16"/>
      <c r="I42" s="16"/>
      <c r="J42" s="16"/>
      <c r="K42" s="16"/>
      <c r="AJ42" s="227" t="s">
        <v>61</v>
      </c>
      <c r="AK42" s="193" t="str">
        <f aca="false">CONCATENATE(SUM(AK37:AK41)," / ",6*5)</f>
        <v>19 / 30</v>
      </c>
      <c r="AL42" s="193"/>
      <c r="AM42" s="193"/>
      <c r="AN42" s="228"/>
      <c r="AO42" s="228"/>
      <c r="AP42" s="228" t="str">
        <f aca="false">IF(AS37/AS39&lt;10,(TEXT(AS37/AS39,"#,##")),IF(AS37/AS39&lt;100,TEXT(AS37/AS39,"##,#"),TEXT(AS37/AS39,"###")))</f>
        <v>14,2</v>
      </c>
      <c r="AQ42" s="228" t="str">
        <f aca="false">AS38</f>
        <v>aw</v>
      </c>
      <c r="AR42" s="229"/>
      <c r="AS42" s="228"/>
      <c r="AT42" s="230" t="str">
        <f aca="false">IF((AP42*VLOOKUP(AQ42,tab_fator[],3,0))&gt;(_xlfn.XLOOKUP(1,AT37:AT41,AV37:AV41,"",0,1)*VLOOKUP((_xlfn.XLOOKUP(1,AT37:AT41,AW37:AW41,"",0,1)),tab_fator[],3,0)),"Pronto","Esperar")</f>
        <v>Esperar</v>
      </c>
      <c r="AU42" s="230"/>
      <c r="AV42" s="230"/>
      <c r="AW42" s="230"/>
    </row>
    <row r="43" customFormat="false" ht="12.75" hidden="false" customHeight="true" outlineLevel="0" collapsed="false">
      <c r="A43" s="1" t="s">
        <v>120</v>
      </c>
      <c r="B43" s="1" t="n">
        <f aca="false">B42+1</f>
        <v>42</v>
      </c>
      <c r="C43" s="2" t="n">
        <f aca="false">C42*1000</f>
        <v>1E+123</v>
      </c>
      <c r="D43" s="8" t="n">
        <f aca="false">LEN(TEXT(C43,0))</f>
        <v>124</v>
      </c>
      <c r="E43" s="25"/>
      <c r="F43" s="8"/>
      <c r="G43" s="8"/>
      <c r="H43" s="16"/>
      <c r="I43" s="16"/>
      <c r="J43" s="16"/>
      <c r="K43" s="16"/>
    </row>
    <row r="44" customFormat="false" ht="12.75" hidden="false" customHeight="true" outlineLevel="0" collapsed="false">
      <c r="A44" s="1" t="s">
        <v>121</v>
      </c>
      <c r="B44" s="1" t="n">
        <f aca="false">B43+1</f>
        <v>43</v>
      </c>
      <c r="C44" s="2" t="n">
        <f aca="false">C43*1000</f>
        <v>1E+126</v>
      </c>
      <c r="D44" s="8" t="n">
        <f aca="false">LEN(TEXT(C44,0))</f>
        <v>127</v>
      </c>
      <c r="E44" s="25"/>
      <c r="F44" s="8"/>
      <c r="G44" s="8"/>
      <c r="H44" s="16"/>
      <c r="I44" s="16"/>
      <c r="J44" s="16"/>
      <c r="K44" s="16"/>
      <c r="AJ44" s="231" t="s">
        <v>122</v>
      </c>
      <c r="AK44" s="231"/>
      <c r="AL44" s="231"/>
      <c r="AM44" s="231"/>
      <c r="AN44" s="231"/>
      <c r="AO44" s="231"/>
      <c r="AP44" s="231"/>
      <c r="AQ44" s="231"/>
      <c r="AR44" s="231"/>
      <c r="AS44" s="231"/>
      <c r="AT44" s="231"/>
      <c r="AU44" s="231"/>
      <c r="AV44" s="231"/>
      <c r="AW44" s="231"/>
    </row>
    <row r="45" customFormat="false" ht="12.75" hidden="false" customHeight="true" outlineLevel="0" collapsed="false">
      <c r="A45" s="1" t="s">
        <v>123</v>
      </c>
      <c r="B45" s="1" t="n">
        <f aca="false">B44+1</f>
        <v>44</v>
      </c>
      <c r="C45" s="2" t="n">
        <f aca="false">C44*1000</f>
        <v>1E+129</v>
      </c>
      <c r="D45" s="8" t="n">
        <f aca="false">LEN(TEXT(C45,0))</f>
        <v>130</v>
      </c>
      <c r="E45" s="25"/>
      <c r="F45" s="8"/>
      <c r="G45" s="8"/>
      <c r="H45" s="16"/>
      <c r="I45" s="16"/>
      <c r="J45" s="16"/>
      <c r="K45" s="16"/>
      <c r="M45" s="232" t="s">
        <v>122</v>
      </c>
      <c r="N45" s="232"/>
      <c r="O45" s="232"/>
      <c r="P45" s="232"/>
      <c r="Q45" s="232"/>
      <c r="R45" s="232"/>
      <c r="S45" s="232"/>
      <c r="T45" s="232"/>
      <c r="U45" s="232"/>
      <c r="V45" s="232"/>
      <c r="W45" s="232"/>
      <c r="X45" s="232"/>
      <c r="Y45" s="232"/>
      <c r="Z45" s="232"/>
      <c r="AA45" s="232"/>
      <c r="AB45" s="232"/>
      <c r="AC45" s="232"/>
      <c r="AD45" s="232"/>
      <c r="AE45" s="232"/>
      <c r="AF45" s="232"/>
      <c r="AG45" s="232"/>
      <c r="AH45" s="232"/>
      <c r="AJ45" s="233" t="s">
        <v>12</v>
      </c>
      <c r="AK45" s="234" t="s">
        <v>69</v>
      </c>
      <c r="AL45" s="235" t="s">
        <v>14</v>
      </c>
      <c r="AM45" s="236" t="s">
        <v>15</v>
      </c>
      <c r="AN45" s="237" t="s">
        <v>16</v>
      </c>
      <c r="AO45" s="237"/>
      <c r="AP45" s="237"/>
      <c r="AQ45" s="237"/>
      <c r="AR45" s="237"/>
      <c r="AS45" s="238"/>
      <c r="AT45" s="237" t="s">
        <v>17</v>
      </c>
      <c r="AU45" s="237"/>
      <c r="AV45" s="237"/>
      <c r="AW45" s="237"/>
    </row>
    <row r="46" customFormat="false" ht="12.75" hidden="false" customHeight="false" outlineLevel="0" collapsed="false">
      <c r="A46" s="1" t="s">
        <v>124</v>
      </c>
      <c r="B46" s="1" t="n">
        <f aca="false">B45+1</f>
        <v>45</v>
      </c>
      <c r="C46" s="2" t="n">
        <f aca="false">C45*1000</f>
        <v>1E+132</v>
      </c>
      <c r="D46" s="8" t="n">
        <f aca="false">LEN(TEXT(C46,0))</f>
        <v>133</v>
      </c>
      <c r="E46" s="25"/>
      <c r="F46" s="8"/>
      <c r="G46" s="8"/>
      <c r="H46" s="16"/>
      <c r="I46" s="16"/>
      <c r="J46" s="16"/>
      <c r="K46" s="16"/>
      <c r="M46" s="239" t="s">
        <v>12</v>
      </c>
      <c r="N46" s="239" t="s">
        <v>20</v>
      </c>
      <c r="O46" s="239"/>
      <c r="P46" s="240" t="s">
        <v>21</v>
      </c>
      <c r="Q46" s="239" t="s">
        <v>22</v>
      </c>
      <c r="R46" s="239"/>
      <c r="S46" s="240" t="s">
        <v>23</v>
      </c>
      <c r="T46" s="239" t="s">
        <v>24</v>
      </c>
      <c r="U46" s="239"/>
      <c r="V46" s="241" t="s">
        <v>25</v>
      </c>
      <c r="W46" s="242" t="s">
        <v>26</v>
      </c>
      <c r="X46" s="243"/>
      <c r="Y46" s="244" t="s">
        <v>2</v>
      </c>
      <c r="Z46" s="242" t="s">
        <v>27</v>
      </c>
      <c r="AA46" s="242" t="s">
        <v>28</v>
      </c>
      <c r="AB46" s="242" t="s">
        <v>29</v>
      </c>
      <c r="AC46" s="242" t="s">
        <v>30</v>
      </c>
      <c r="AD46" s="242" t="s">
        <v>31</v>
      </c>
      <c r="AE46" s="242" t="s">
        <v>32</v>
      </c>
      <c r="AF46" s="242"/>
      <c r="AG46" s="245"/>
      <c r="AH46" s="244" t="s">
        <v>15</v>
      </c>
      <c r="AJ46" s="233"/>
      <c r="AK46" s="246" t="s">
        <v>9</v>
      </c>
      <c r="AL46" s="235"/>
      <c r="AM46" s="236"/>
      <c r="AN46" s="247" t="s">
        <v>26</v>
      </c>
      <c r="AO46" s="247"/>
      <c r="AP46" s="247" t="s">
        <v>2</v>
      </c>
      <c r="AQ46" s="247" t="s">
        <v>33</v>
      </c>
      <c r="AR46" s="248" t="s">
        <v>34</v>
      </c>
      <c r="AS46" s="247"/>
      <c r="AT46" s="247" t="s">
        <v>26</v>
      </c>
      <c r="AU46" s="247" t="s">
        <v>35</v>
      </c>
      <c r="AV46" s="247" t="s">
        <v>2</v>
      </c>
      <c r="AW46" s="249" t="s">
        <v>33</v>
      </c>
    </row>
    <row r="47" customFormat="false" ht="12.75" hidden="false" customHeight="false" outlineLevel="0" collapsed="false">
      <c r="A47" s="1" t="s">
        <v>125</v>
      </c>
      <c r="B47" s="1" t="n">
        <f aca="false">B46+1</f>
        <v>46</v>
      </c>
      <c r="C47" s="2" t="n">
        <f aca="false">C46*1000</f>
        <v>1E+135</v>
      </c>
      <c r="D47" s="8" t="n">
        <f aca="false">LEN(TEXT(C47,0))</f>
        <v>136</v>
      </c>
      <c r="E47" s="25"/>
      <c r="F47" s="8"/>
      <c r="G47" s="8"/>
      <c r="H47" s="16"/>
      <c r="I47" s="16"/>
      <c r="J47" s="16"/>
      <c r="K47" s="16"/>
      <c r="M47" s="35" t="s">
        <v>126</v>
      </c>
      <c r="N47" s="36" t="n">
        <v>1.84</v>
      </c>
      <c r="O47" s="37" t="s">
        <v>98</v>
      </c>
      <c r="P47" s="4" t="n">
        <f aca="false">N47*(VLOOKUP(O47,tab_fator[],3,0))</f>
        <v>1.84E+075</v>
      </c>
      <c r="Q47" s="36" t="n">
        <v>1.83</v>
      </c>
      <c r="R47" s="37" t="s">
        <v>98</v>
      </c>
      <c r="S47" s="4" t="n">
        <f aca="false">Q47*(VLOOKUP(R47,tab_fator[],3,0))</f>
        <v>1.83E+075</v>
      </c>
      <c r="T47" s="36" t="n">
        <v>1.63</v>
      </c>
      <c r="U47" s="37" t="s">
        <v>98</v>
      </c>
      <c r="V47" s="167" t="n">
        <f aca="false">T47*(VLOOKUP(U47,tab_fator[],3,0))</f>
        <v>1.63E+075</v>
      </c>
      <c r="W47" s="39" t="n">
        <f aca="false">_xlfn.RANK.EQ(V47,$V47:$V51)</f>
        <v>5</v>
      </c>
      <c r="X47" s="39"/>
      <c r="Y47" s="37" t="n">
        <f aca="false">MIN(V47,S47,P47)</f>
        <v>1.63E+075</v>
      </c>
      <c r="Z47" s="37" t="n">
        <f aca="false">MATCH(Y47,M47:V47,0)</f>
        <v>10</v>
      </c>
      <c r="AA47" s="37" t="n">
        <f aca="false">COLUMN($L$1)</f>
        <v>12</v>
      </c>
      <c r="AB47" s="37" t="n">
        <v>2</v>
      </c>
      <c r="AC47" s="37" t="n">
        <f aca="false">Z47+AA47-AB47</f>
        <v>20</v>
      </c>
      <c r="AD47" s="37" t="n">
        <f aca="false">ROW(X47)</f>
        <v>47</v>
      </c>
      <c r="AE47" s="37" t="n">
        <f aca="true" t="array" ref="AE47:AE47">INDIRECT(ADDRESS(AD47,AC47,1,1))</f>
        <v>1.63</v>
      </c>
      <c r="AF47" s="37" t="str">
        <f aca="true" t="array" ref="AF47:AF47">INDIRECT(ADDRESS(AD47,AC47+1,1,1))</f>
        <v>au</v>
      </c>
      <c r="AG47" s="39"/>
      <c r="AH47" s="37" t="str">
        <f aca="false">IF(AND(V47&lt;S47,V47&lt;P47),"Equilibrado","Ver")</f>
        <v>Equilibrado</v>
      </c>
      <c r="AJ47" s="40" t="s">
        <v>126</v>
      </c>
      <c r="AK47" s="36" t="n">
        <v>4</v>
      </c>
      <c r="AL47" s="39" t="n">
        <f aca="false">VLOOKUP($I$14,tab_fator[],2,0)-VLOOKUP(AQ47,tab_fator[],2,0)</f>
        <v>3</v>
      </c>
      <c r="AM47" s="5" t="str">
        <f aca="false">IF(AN47+AT47=6,"Equilibrado","Ver")</f>
        <v>Equilibrado</v>
      </c>
      <c r="AN47" s="36" t="n">
        <f aca="false">_xlfn.RANK.EQ(AO47,AO47:AO51)</f>
        <v>5</v>
      </c>
      <c r="AO47" s="5" t="n">
        <f aca="false">AP47*(VLOOKUP(AQ47,tab_fator[],3,0))</f>
        <v>9.62E+075</v>
      </c>
      <c r="AP47" s="5" t="n">
        <f aca="false">'Transformação-Normal'!Q35</f>
        <v>9.62</v>
      </c>
      <c r="AQ47" s="3" t="str">
        <f aca="false">'Transformação-Normal'!R35</f>
        <v>au</v>
      </c>
      <c r="AR47" s="42" t="n">
        <f aca="false">AO47/SUM(AO47:AO51)</f>
        <v>0.00435546379803687</v>
      </c>
      <c r="AS47" s="43" t="n">
        <f aca="false">(AP47*VLOOKUP(AQ47,tab_fator[],3,0))+
(AP48*VLOOKUP(AQ48,tab_fator[],3,0))+
(AP49*VLOOKUP(AQ49,tab_fator[],3,0))+
(AP50*VLOOKUP(AQ50,tab_fator[],3,0))+
(AP51*VLOOKUP(AQ51,tab_fator[],3,0))</f>
        <v>2.20872E+078</v>
      </c>
      <c r="AT47" s="11" t="n">
        <f aca="false">_xlfn.RANK.EQ(AU47,$AU$47:$AU$51,1)</f>
        <v>1</v>
      </c>
      <c r="AU47" s="5" t="n">
        <f aca="false">AV47*(VLOOKUP(AW47,tab_fator[],3,0))</f>
        <v>1.19E+085</v>
      </c>
      <c r="AV47" s="5" t="n">
        <v>11.9</v>
      </c>
      <c r="AW47" s="37" t="s">
        <v>105</v>
      </c>
    </row>
    <row r="48" customFormat="false" ht="12.75" hidden="false" customHeight="false" outlineLevel="0" collapsed="false">
      <c r="A48" s="1" t="s">
        <v>127</v>
      </c>
      <c r="B48" s="1" t="n">
        <f aca="false">B47+1</f>
        <v>47</v>
      </c>
      <c r="C48" s="2" t="n">
        <f aca="false">C47*1000</f>
        <v>1E+138</v>
      </c>
      <c r="D48" s="8" t="n">
        <f aca="false">LEN(TEXT(C48,0))</f>
        <v>139</v>
      </c>
      <c r="E48" s="25"/>
      <c r="F48" s="8"/>
      <c r="G48" s="8"/>
      <c r="H48" s="16"/>
      <c r="I48" s="16"/>
      <c r="J48" s="16"/>
      <c r="K48" s="16"/>
      <c r="M48" s="250" t="s">
        <v>128</v>
      </c>
      <c r="N48" s="250" t="n">
        <v>6.86</v>
      </c>
      <c r="O48" s="251" t="s">
        <v>98</v>
      </c>
      <c r="P48" s="252" t="n">
        <f aca="false">N48*(VLOOKUP(O48,tab_fator[],3,0))</f>
        <v>6.86E+075</v>
      </c>
      <c r="Q48" s="250" t="n">
        <v>6.95</v>
      </c>
      <c r="R48" s="251" t="s">
        <v>98</v>
      </c>
      <c r="S48" s="253" t="n">
        <f aca="false">Q48*(VLOOKUP(R48,tab_fator[],3,0))</f>
        <v>6.95E+075</v>
      </c>
      <c r="T48" s="250" t="n">
        <v>6.63</v>
      </c>
      <c r="U48" s="251" t="s">
        <v>98</v>
      </c>
      <c r="V48" s="254" t="n">
        <f aca="false">T48*(VLOOKUP(U48,tab_fator[],3,0))</f>
        <v>6.63E+075</v>
      </c>
      <c r="W48" s="255" t="n">
        <f aca="false">_xlfn.RANK.EQ(V48,$V47:$V51)</f>
        <v>4</v>
      </c>
      <c r="X48" s="256"/>
      <c r="Y48" s="251" t="n">
        <f aca="false">MIN(V48,S48,P48)</f>
        <v>6.63E+075</v>
      </c>
      <c r="Z48" s="251" t="n">
        <f aca="false">MATCH(Y48,M48:V48,0)</f>
        <v>10</v>
      </c>
      <c r="AA48" s="251" t="n">
        <f aca="false">COLUMN($L$1)</f>
        <v>12</v>
      </c>
      <c r="AB48" s="251" t="n">
        <v>2</v>
      </c>
      <c r="AC48" s="251" t="n">
        <f aca="false">Z48+AA48-AB48</f>
        <v>20</v>
      </c>
      <c r="AD48" s="251" t="n">
        <f aca="false">ROW(X48)</f>
        <v>48</v>
      </c>
      <c r="AE48" s="251" t="n">
        <f aca="true" t="array" ref="AE48:AE48">INDIRECT(ADDRESS(AD48,AC48,1,1))</f>
        <v>6.63</v>
      </c>
      <c r="AF48" s="251" t="str">
        <f aca="true" t="array" ref="AF48:AF48">INDIRECT(ADDRESS(AD48,AC48+1,1,1))</f>
        <v>au</v>
      </c>
      <c r="AG48" s="255"/>
      <c r="AH48" s="251" t="str">
        <f aca="false">IF(AND(V48&lt;S48,V48&lt;P48),"Equilibrado","Ver")</f>
        <v>Equilibrado</v>
      </c>
      <c r="AJ48" s="257" t="s">
        <v>128</v>
      </c>
      <c r="AK48" s="258" t="n">
        <v>3</v>
      </c>
      <c r="AL48" s="259" t="n">
        <f aca="false">VLOOKUP($I$14,tab_fator[],2,0)-VLOOKUP(AQ48,tab_fator[],2,0)</f>
        <v>3</v>
      </c>
      <c r="AM48" s="158" t="str">
        <f aca="false">IF(AN48+AT48=6,"Equilibrado","Ver")</f>
        <v>Equilibrado</v>
      </c>
      <c r="AN48" s="258" t="n">
        <f aca="false">_xlfn.RANK.EQ(AO48,AO47:AO51)</f>
        <v>4</v>
      </c>
      <c r="AO48" s="158" t="n">
        <f aca="false">AP48*(VLOOKUP(AQ48,tab_fator[],3,0))</f>
        <v>3.91E+076</v>
      </c>
      <c r="AP48" s="158" t="n">
        <f aca="false">'Transformação-Normal'!Q36</f>
        <v>39.1</v>
      </c>
      <c r="AQ48" s="158" t="str">
        <f aca="false">'Transformação-Normal'!R36</f>
        <v>au</v>
      </c>
      <c r="AR48" s="260" t="n">
        <f aca="false">AO48/SUM(AO47:AO51)</f>
        <v>0.0177025607591727</v>
      </c>
      <c r="AS48" s="158" t="str">
        <f aca="false">_xlfn.XLOOKUP((LEN(TEXT(AS47,0))),tab_fator[Dgts],tab_fator[Fator],"errro",-1,1)</f>
        <v>av</v>
      </c>
      <c r="AT48" s="261" t="n">
        <f aca="false">_xlfn.RANK.EQ(AU48,$AU$47:$AU$51,1)</f>
        <v>2</v>
      </c>
      <c r="AU48" s="158" t="n">
        <f aca="false">AV48*(VLOOKUP(AW48,tab_fator[],3,0))</f>
        <v>2.7E+087</v>
      </c>
      <c r="AV48" s="158" t="n">
        <v>2.7</v>
      </c>
      <c r="AW48" s="262" t="s">
        <v>100</v>
      </c>
    </row>
    <row r="49" customFormat="false" ht="12.75" hidden="false" customHeight="false" outlineLevel="0" collapsed="false">
      <c r="A49" s="1" t="s">
        <v>129</v>
      </c>
      <c r="B49" s="1" t="n">
        <f aca="false">B48+1</f>
        <v>48</v>
      </c>
      <c r="C49" s="2" t="n">
        <f aca="false">C48*1000</f>
        <v>1E+141</v>
      </c>
      <c r="D49" s="8" t="n">
        <f aca="false">LEN(TEXT(C49,0))</f>
        <v>142</v>
      </c>
      <c r="E49" s="25"/>
      <c r="F49" s="8"/>
      <c r="G49" s="8"/>
      <c r="H49" s="16"/>
      <c r="I49" s="16"/>
      <c r="J49" s="16"/>
      <c r="K49" s="16"/>
      <c r="M49" s="35" t="s">
        <v>130</v>
      </c>
      <c r="N49" s="36" t="n">
        <v>120</v>
      </c>
      <c r="O49" s="37" t="s">
        <v>98</v>
      </c>
      <c r="P49" s="4" t="n">
        <f aca="false">N49*(VLOOKUP(O49,tab_fator[],3,0))</f>
        <v>1.2E+077</v>
      </c>
      <c r="Q49" s="36" t="n">
        <v>124</v>
      </c>
      <c r="R49" s="37" t="s">
        <v>98</v>
      </c>
      <c r="S49" s="4" t="n">
        <f aca="false">Q49*(VLOOKUP(R49,tab_fator[],3,0))</f>
        <v>1.24E+077</v>
      </c>
      <c r="T49" s="36" t="n">
        <v>113</v>
      </c>
      <c r="U49" s="37" t="s">
        <v>98</v>
      </c>
      <c r="V49" s="167" t="n">
        <f aca="false">T49*(VLOOKUP(U49,tab_fator[],3,0))</f>
        <v>1.13E+077</v>
      </c>
      <c r="W49" s="39" t="n">
        <f aca="false">_xlfn.RANK.EQ(V49,$V47:$V51)</f>
        <v>2</v>
      </c>
      <c r="X49" s="39"/>
      <c r="Y49" s="37" t="n">
        <f aca="false">MIN(V49,S49,P49)</f>
        <v>1.13E+077</v>
      </c>
      <c r="Z49" s="37" t="n">
        <f aca="false">MATCH(Y49,M49:V49,0)</f>
        <v>10</v>
      </c>
      <c r="AA49" s="37" t="n">
        <f aca="false">COLUMN($L$1)</f>
        <v>12</v>
      </c>
      <c r="AB49" s="37" t="n">
        <v>2</v>
      </c>
      <c r="AC49" s="37" t="n">
        <f aca="false">Z49+AA49-AB49</f>
        <v>20</v>
      </c>
      <c r="AD49" s="37" t="n">
        <f aca="false">ROW(X49)</f>
        <v>49</v>
      </c>
      <c r="AE49" s="37" t="n">
        <f aca="true" t="array" ref="AE49:AE49">INDIRECT(ADDRESS(AD49,AC49,1,1))</f>
        <v>113</v>
      </c>
      <c r="AF49" s="37" t="str">
        <f aca="true" t="array" ref="AF49:AF49">INDIRECT(ADDRESS(AD49,AC49+1,1,1))</f>
        <v>au</v>
      </c>
      <c r="AG49" s="39"/>
      <c r="AH49" s="37" t="str">
        <f aca="false">IF(AND(V49&lt;S49,V49&lt;P49),"Equilibrado","Ver")</f>
        <v>Equilibrado</v>
      </c>
      <c r="AJ49" s="40" t="s">
        <v>130</v>
      </c>
      <c r="AK49" s="35" t="n">
        <v>3</v>
      </c>
      <c r="AL49" s="263" t="n">
        <f aca="false">VLOOKUP($I$14,tab_fator[],2,0)-VLOOKUP(AQ49,tab_fator[],2,0)</f>
        <v>3</v>
      </c>
      <c r="AM49" s="3" t="str">
        <f aca="false">IF(AN49+AT49=6,"Equilibrado","Ver")</f>
        <v>Equilibrado</v>
      </c>
      <c r="AN49" s="36" t="n">
        <f aca="false">_xlfn.RANK.EQ(AO49,AO47:AO51)</f>
        <v>2</v>
      </c>
      <c r="AO49" s="5" t="n">
        <f aca="false">AP49*(VLOOKUP(AQ49,tab_fator[],3,0))</f>
        <v>6.67E+077</v>
      </c>
      <c r="AP49" s="5" t="n">
        <f aca="false">'Transformação-Normal'!Q37</f>
        <v>667</v>
      </c>
      <c r="AQ49" s="3" t="str">
        <f aca="false">'Transformação-Normal'!R37</f>
        <v>au</v>
      </c>
      <c r="AR49" s="42" t="n">
        <f aca="false">AO49/SUM(AO47:AO51)</f>
        <v>0.301984860009417</v>
      </c>
      <c r="AS49" s="5" t="n">
        <f aca="false">VLOOKUP(AS48,tab_fator[],3,0)</f>
        <v>1E+078</v>
      </c>
      <c r="AT49" s="11" t="n">
        <f aca="false">_xlfn.RANK.EQ(AU49,$AU$47:$AU$51,1)</f>
        <v>4</v>
      </c>
      <c r="AU49" s="5" t="n">
        <f aca="false">AV49*(VLOOKUP(AW49,tab_fator[],3,0))</f>
        <v>9.72E+091</v>
      </c>
      <c r="AV49" s="5" t="n">
        <v>97.2</v>
      </c>
      <c r="AW49" s="37" t="s">
        <v>75</v>
      </c>
    </row>
    <row r="50" customFormat="false" ht="12.75" hidden="false" customHeight="false" outlineLevel="0" collapsed="false">
      <c r="A50" s="1" t="s">
        <v>131</v>
      </c>
      <c r="B50" s="1" t="n">
        <f aca="false">B49+1</f>
        <v>49</v>
      </c>
      <c r="C50" s="2" t="n">
        <f aca="false">C49*1000</f>
        <v>1E+144</v>
      </c>
      <c r="D50" s="8" t="n">
        <f aca="false">LEN(TEXT(C50,0))</f>
        <v>145</v>
      </c>
      <c r="E50" s="25"/>
      <c r="F50" s="8"/>
      <c r="G50" s="8"/>
      <c r="H50" s="16"/>
      <c r="I50" s="16"/>
      <c r="J50" s="16"/>
      <c r="K50" s="16"/>
      <c r="M50" s="264" t="s">
        <v>132</v>
      </c>
      <c r="N50" s="250" t="n">
        <v>161</v>
      </c>
      <c r="O50" s="251" t="s">
        <v>98</v>
      </c>
      <c r="P50" s="252" t="n">
        <f aca="false">N50*(VLOOKUP(O50,tab_fator[],3,0))</f>
        <v>1.61E+077</v>
      </c>
      <c r="Q50" s="250" t="n">
        <v>153</v>
      </c>
      <c r="R50" s="251" t="s">
        <v>98</v>
      </c>
      <c r="S50" s="253" t="n">
        <f aca="false">Q50*(VLOOKUP(R50,tab_fator[],3,0))</f>
        <v>1.53E+077</v>
      </c>
      <c r="T50" s="250" t="n">
        <v>151</v>
      </c>
      <c r="U50" s="251" t="s">
        <v>98</v>
      </c>
      <c r="V50" s="254" t="n">
        <f aca="false">T50*(VLOOKUP(U50,tab_fator[],3,0))</f>
        <v>1.51E+077</v>
      </c>
      <c r="W50" s="255" t="n">
        <f aca="false">_xlfn.RANK.EQ(V50,$V47:$V51)</f>
        <v>1</v>
      </c>
      <c r="X50" s="256"/>
      <c r="Y50" s="251" t="n">
        <f aca="false">MIN(V50,S50,P50)</f>
        <v>1.51E+077</v>
      </c>
      <c r="Z50" s="251" t="n">
        <f aca="false">MATCH(Y50,M50:V50,0)</f>
        <v>10</v>
      </c>
      <c r="AA50" s="251" t="n">
        <f aca="false">COLUMN($L$1)</f>
        <v>12</v>
      </c>
      <c r="AB50" s="251" t="n">
        <v>2</v>
      </c>
      <c r="AC50" s="251" t="n">
        <f aca="false">Z50+AA50-AB50</f>
        <v>20</v>
      </c>
      <c r="AD50" s="251" t="n">
        <f aca="false">ROW(X50)</f>
        <v>50</v>
      </c>
      <c r="AE50" s="251" t="n">
        <f aca="true" t="array" ref="AE50:AE50">INDIRECT(ADDRESS(AD50,AC50,1,1))</f>
        <v>151</v>
      </c>
      <c r="AF50" s="251" t="str">
        <f aca="true" t="array" ref="AF50:AF50">INDIRECT(ADDRESS(AD50,AC50+1,1,1))</f>
        <v>au</v>
      </c>
      <c r="AG50" s="255"/>
      <c r="AH50" s="251" t="str">
        <f aca="false">IF(AND(V50&lt;S50,V50&lt;P50),"Equilibrado","Ver")</f>
        <v>Equilibrado</v>
      </c>
      <c r="AJ50" s="257" t="s">
        <v>132</v>
      </c>
      <c r="AK50" s="258" t="n">
        <v>3</v>
      </c>
      <c r="AL50" s="259" t="n">
        <f aca="false">VLOOKUP($I$14,tab_fator[],2,0)-VLOOKUP(AQ50,tab_fator[],2,0)</f>
        <v>3</v>
      </c>
      <c r="AM50" s="158" t="str">
        <f aca="false">IF(AN50+AT50=6,"Equilibrado","Ver")</f>
        <v>Equilibrado</v>
      </c>
      <c r="AN50" s="258" t="n">
        <f aca="false">_xlfn.RANK.EQ(AO50,AO47:AO51)</f>
        <v>1</v>
      </c>
      <c r="AO50" s="158" t="n">
        <f aca="false">AP50*(VLOOKUP(AQ50,tab_fator[],3,0))</f>
        <v>8.91E+077</v>
      </c>
      <c r="AP50" s="158" t="n">
        <f aca="false">'Transformação-Normal'!Q38</f>
        <v>891</v>
      </c>
      <c r="AQ50" s="158" t="str">
        <f aca="false">'Transformação-Normal'!R38</f>
        <v>au</v>
      </c>
      <c r="AR50" s="260" t="n">
        <f aca="false">AO50/SUM(AO47:AO51)</f>
        <v>0.403401064870151</v>
      </c>
      <c r="AS50" s="158"/>
      <c r="AT50" s="261" t="n">
        <f aca="false">_xlfn.RANK.EQ(AU50,$AU$47:$AU$51,1)</f>
        <v>5</v>
      </c>
      <c r="AU50" s="158" t="n">
        <f aca="false">AV50*(VLOOKUP(AW50,tab_fator[],3,0))</f>
        <v>3.62E+094</v>
      </c>
      <c r="AV50" s="158" t="n">
        <v>36.2</v>
      </c>
      <c r="AW50" s="262" t="s">
        <v>79</v>
      </c>
    </row>
    <row r="51" customFormat="false" ht="12.75" hidden="false" customHeight="false" outlineLevel="0" collapsed="false">
      <c r="A51" s="1" t="s">
        <v>133</v>
      </c>
      <c r="B51" s="1" t="n">
        <f aca="false">B50+1</f>
        <v>50</v>
      </c>
      <c r="C51" s="2" t="n">
        <f aca="false">C50*1000</f>
        <v>1E+147</v>
      </c>
      <c r="D51" s="8" t="n">
        <f aca="false">LEN(TEXT(C51,0))</f>
        <v>148</v>
      </c>
      <c r="E51" s="25"/>
      <c r="F51" s="8"/>
      <c r="G51" s="8"/>
      <c r="H51" s="16"/>
      <c r="I51" s="16"/>
      <c r="J51" s="16"/>
      <c r="K51" s="16"/>
      <c r="M51" s="71" t="s">
        <v>134</v>
      </c>
      <c r="N51" s="72" t="n">
        <v>107</v>
      </c>
      <c r="O51" s="73" t="s">
        <v>98</v>
      </c>
      <c r="P51" s="184" t="n">
        <f aca="false">N51*(VLOOKUP(O51,tab_fator[],3,0))</f>
        <v>1.07E+077</v>
      </c>
      <c r="Q51" s="72" t="n">
        <v>111</v>
      </c>
      <c r="R51" s="73" t="s">
        <v>98</v>
      </c>
      <c r="S51" s="184" t="n">
        <f aca="false">Q51*(VLOOKUP(R51,tab_fator[],3,0))</f>
        <v>1.11E+077</v>
      </c>
      <c r="T51" s="72" t="n">
        <v>102</v>
      </c>
      <c r="U51" s="73" t="s">
        <v>98</v>
      </c>
      <c r="V51" s="185" t="n">
        <f aca="false">T51*(VLOOKUP(U51,tab_fator[],3,0))</f>
        <v>1.02E+077</v>
      </c>
      <c r="W51" s="76" t="n">
        <f aca="false">_xlfn.RANK.EQ(V51,$V47:$V51)</f>
        <v>3</v>
      </c>
      <c r="X51" s="76"/>
      <c r="Y51" s="73" t="n">
        <f aca="false">MIN(V51,S51,P51)</f>
        <v>1.02E+077</v>
      </c>
      <c r="Z51" s="73" t="n">
        <f aca="false">MATCH(Y51,M51:V51,0)</f>
        <v>10</v>
      </c>
      <c r="AA51" s="73" t="n">
        <f aca="false">COLUMN($L$1)</f>
        <v>12</v>
      </c>
      <c r="AB51" s="73" t="n">
        <v>2</v>
      </c>
      <c r="AC51" s="73" t="n">
        <f aca="false">Z51+AA51-AB51</f>
        <v>20</v>
      </c>
      <c r="AD51" s="73" t="n">
        <f aca="false">ROW(X51)</f>
        <v>51</v>
      </c>
      <c r="AE51" s="73" t="n">
        <f aca="true" t="array" ref="AE51:AE51">INDIRECT(ADDRESS(AD51,AC51,1,1))</f>
        <v>102</v>
      </c>
      <c r="AF51" s="73" t="str">
        <f aca="true" t="array" ref="AF51:AF51">INDIRECT(ADDRESS(AD51,AC51+1,1,1))</f>
        <v>au</v>
      </c>
      <c r="AG51" s="76"/>
      <c r="AH51" s="73" t="str">
        <f aca="false">IF(AND(V51&lt;S51,V51&lt;P51),"Equilibrado","Ver")</f>
        <v>Equilibrado</v>
      </c>
      <c r="AJ51" s="40" t="s">
        <v>134</v>
      </c>
      <c r="AK51" s="36" t="n">
        <v>2</v>
      </c>
      <c r="AL51" s="39" t="n">
        <f aca="false">VLOOKUP($I$14,tab_fator[],2,0)-VLOOKUP(AQ51,tab_fator[],2,0)</f>
        <v>3</v>
      </c>
      <c r="AM51" s="5" t="str">
        <f aca="false">IF(AN51+AT51=6,"Equilibrado","Ver")</f>
        <v>Equilibrado</v>
      </c>
      <c r="AN51" s="36" t="n">
        <f aca="false">_xlfn.RANK.EQ(AO51,AO47:AO51)</f>
        <v>3</v>
      </c>
      <c r="AO51" s="5" t="n">
        <f aca="false">AP51*(VLOOKUP(AQ51,tab_fator[],3,0))</f>
        <v>6.02E+077</v>
      </c>
      <c r="AP51" s="5" t="n">
        <f aca="false">'Transformação-Normal'!Q39</f>
        <v>602</v>
      </c>
      <c r="AQ51" s="3" t="str">
        <f aca="false">'Transformação-Normal'!R39</f>
        <v>au</v>
      </c>
      <c r="AR51" s="42" t="n">
        <f aca="false">AO51/SUM(AO47:AO51)</f>
        <v>0.272556050563222</v>
      </c>
      <c r="AS51" s="3"/>
      <c r="AT51" s="11" t="n">
        <f aca="false">_xlfn.RANK.EQ(AU51,$AU$47:$AU$51,1)</f>
        <v>3</v>
      </c>
      <c r="AU51" s="5" t="n">
        <f aca="false">AV51*(VLOOKUP(AW51,tab_fator[],3,0))</f>
        <v>3.35E+089</v>
      </c>
      <c r="AV51" s="3" t="n">
        <v>335</v>
      </c>
      <c r="AW51" s="37" t="s">
        <v>100</v>
      </c>
    </row>
    <row r="52" customFormat="false" ht="12.75" hidden="false" customHeight="false" outlineLevel="0" collapsed="false">
      <c r="A52" s="1" t="s">
        <v>135</v>
      </c>
      <c r="B52" s="1" t="n">
        <f aca="false">B51+1</f>
        <v>51</v>
      </c>
      <c r="C52" s="2" t="n">
        <f aca="false">C51*1000</f>
        <v>1E+150</v>
      </c>
      <c r="D52" s="8" t="n">
        <f aca="false">LEN(TEXT(C52,0))</f>
        <v>151</v>
      </c>
      <c r="E52" s="25"/>
      <c r="F52" s="8"/>
      <c r="G52" s="8"/>
      <c r="H52" s="16"/>
      <c r="I52" s="16"/>
      <c r="J52" s="16"/>
      <c r="K52" s="16"/>
      <c r="AJ52" s="265" t="s">
        <v>61</v>
      </c>
      <c r="AK52" s="232" t="str">
        <f aca="false">CONCATENATE(SUM(AK47:AK51)," / ",6*5)</f>
        <v>15 / 30</v>
      </c>
      <c r="AL52" s="232"/>
      <c r="AM52" s="232"/>
      <c r="AN52" s="266"/>
      <c r="AO52" s="266"/>
      <c r="AP52" s="266" t="str">
        <f aca="false">IF(AS47/AS49&lt;10,(TEXT(AS47/AS49,"#,##")),IF(AS47/AS49&lt;100,TEXT(AS47/AS49,"##,#"),TEXT(AS47/AS49,"###")))</f>
        <v>2,21</v>
      </c>
      <c r="AQ52" s="266" t="str">
        <f aca="false">AS48</f>
        <v>av</v>
      </c>
      <c r="AR52" s="267"/>
      <c r="AS52" s="266"/>
      <c r="AT52" s="268" t="str">
        <f aca="false">IF((AP52*VLOOKUP(AQ52,tab_fator[],3,0))&gt;(_xlfn.XLOOKUP(1,AT47:AT51,AV47:AV51,"",0,1)*VLOOKUP((_xlfn.XLOOKUP(1,AT47:AT51,AW47:AW51,"",0,1)),tab_fator[],3,0)),"Pronto","Esperar")</f>
        <v>Esperar</v>
      </c>
      <c r="AU52" s="268"/>
      <c r="AV52" s="268"/>
      <c r="AW52" s="268"/>
    </row>
    <row r="53" customFormat="false" ht="12.75" hidden="false" customHeight="false" outlineLevel="0" collapsed="false">
      <c r="A53" s="1" t="s">
        <v>136</v>
      </c>
      <c r="B53" s="1" t="n">
        <f aca="false">B52+1</f>
        <v>52</v>
      </c>
      <c r="C53" s="2" t="n">
        <f aca="false">C52*1000</f>
        <v>1E+153</v>
      </c>
      <c r="D53" s="8" t="n">
        <f aca="false">LEN(TEXT(C53,0))</f>
        <v>154</v>
      </c>
      <c r="E53" s="25"/>
      <c r="F53" s="8"/>
      <c r="G53" s="8"/>
      <c r="H53" s="16"/>
      <c r="I53" s="16"/>
      <c r="J53" s="16"/>
      <c r="K53" s="16"/>
    </row>
    <row r="54" customFormat="false" ht="12.75" hidden="false" customHeight="false" outlineLevel="0" collapsed="false">
      <c r="A54" s="1" t="s">
        <v>137</v>
      </c>
      <c r="B54" s="1" t="n">
        <f aca="false">B53+1</f>
        <v>53</v>
      </c>
      <c r="C54" s="2" t="n">
        <f aca="false">C53*1000</f>
        <v>1E+156</v>
      </c>
      <c r="D54" s="8" t="n">
        <f aca="false">LEN(TEXT(C54,0))</f>
        <v>157</v>
      </c>
      <c r="E54" s="25"/>
      <c r="F54" s="8"/>
      <c r="G54" s="8"/>
      <c r="H54" s="16"/>
      <c r="I54" s="16"/>
      <c r="J54" s="16"/>
      <c r="K54" s="16"/>
      <c r="AJ54" s="269" t="s">
        <v>138</v>
      </c>
      <c r="AK54" s="269"/>
      <c r="AL54" s="269"/>
      <c r="AM54" s="269"/>
      <c r="AN54" s="269"/>
      <c r="AO54" s="269"/>
      <c r="AP54" s="269"/>
      <c r="AQ54" s="269"/>
      <c r="AR54" s="269"/>
      <c r="AS54" s="269"/>
      <c r="AT54" s="269"/>
      <c r="AU54" s="269"/>
      <c r="AV54" s="269"/>
      <c r="AW54" s="269"/>
    </row>
    <row r="55" customFormat="false" ht="12.75" hidden="false" customHeight="false" outlineLevel="0" collapsed="false">
      <c r="A55" s="1" t="s">
        <v>139</v>
      </c>
      <c r="B55" s="1" t="n">
        <f aca="false">B54+1</f>
        <v>54</v>
      </c>
      <c r="C55" s="2" t="n">
        <f aca="false">C54*1000</f>
        <v>1E+159</v>
      </c>
      <c r="D55" s="8" t="n">
        <f aca="false">LEN(TEXT(C55,0))</f>
        <v>160</v>
      </c>
      <c r="E55" s="25"/>
      <c r="F55" s="8"/>
      <c r="G55" s="8"/>
      <c r="H55" s="16"/>
      <c r="I55" s="16"/>
      <c r="J55" s="16"/>
      <c r="K55" s="16"/>
      <c r="M55" s="270" t="s">
        <v>138</v>
      </c>
      <c r="N55" s="270"/>
      <c r="O55" s="270"/>
      <c r="P55" s="270"/>
      <c r="Q55" s="270"/>
      <c r="R55" s="270"/>
      <c r="S55" s="270"/>
      <c r="T55" s="270"/>
      <c r="U55" s="270"/>
      <c r="V55" s="270"/>
      <c r="W55" s="270"/>
      <c r="X55" s="270"/>
      <c r="Y55" s="270"/>
      <c r="Z55" s="270"/>
      <c r="AA55" s="270"/>
      <c r="AB55" s="270"/>
      <c r="AC55" s="270"/>
      <c r="AD55" s="270"/>
      <c r="AE55" s="270"/>
      <c r="AF55" s="270"/>
      <c r="AG55" s="270"/>
      <c r="AH55" s="270"/>
      <c r="AJ55" s="271" t="s">
        <v>12</v>
      </c>
      <c r="AK55" s="272" t="s">
        <v>69</v>
      </c>
      <c r="AL55" s="273" t="s">
        <v>14</v>
      </c>
      <c r="AM55" s="274" t="s">
        <v>15</v>
      </c>
      <c r="AN55" s="275" t="s">
        <v>16</v>
      </c>
      <c r="AO55" s="275"/>
      <c r="AP55" s="275"/>
      <c r="AQ55" s="275"/>
      <c r="AR55" s="275"/>
      <c r="AS55" s="276"/>
      <c r="AT55" s="275" t="s">
        <v>17</v>
      </c>
      <c r="AU55" s="275"/>
      <c r="AV55" s="275"/>
      <c r="AW55" s="275"/>
    </row>
    <row r="56" customFormat="false" ht="12.75" hidden="false" customHeight="false" outlineLevel="0" collapsed="false">
      <c r="A56" s="1" t="s">
        <v>140</v>
      </c>
      <c r="B56" s="1" t="n">
        <f aca="false">B55+1</f>
        <v>55</v>
      </c>
      <c r="C56" s="2" t="n">
        <f aca="false">C55*1000</f>
        <v>1E+162</v>
      </c>
      <c r="D56" s="8" t="n">
        <f aca="false">LEN(TEXT(C56,0))</f>
        <v>163</v>
      </c>
      <c r="E56" s="25"/>
      <c r="F56" s="8"/>
      <c r="G56" s="8"/>
      <c r="H56" s="16"/>
      <c r="I56" s="16"/>
      <c r="J56" s="16"/>
      <c r="K56" s="16"/>
      <c r="M56" s="277" t="s">
        <v>12</v>
      </c>
      <c r="N56" s="277" t="s">
        <v>20</v>
      </c>
      <c r="O56" s="277"/>
      <c r="P56" s="278" t="s">
        <v>21</v>
      </c>
      <c r="Q56" s="277" t="s">
        <v>22</v>
      </c>
      <c r="R56" s="277"/>
      <c r="S56" s="278" t="s">
        <v>23</v>
      </c>
      <c r="T56" s="277" t="s">
        <v>24</v>
      </c>
      <c r="U56" s="277"/>
      <c r="V56" s="279" t="s">
        <v>25</v>
      </c>
      <c r="W56" s="280" t="s">
        <v>26</v>
      </c>
      <c r="X56" s="281"/>
      <c r="Y56" s="282" t="s">
        <v>2</v>
      </c>
      <c r="Z56" s="280" t="s">
        <v>27</v>
      </c>
      <c r="AA56" s="280" t="s">
        <v>28</v>
      </c>
      <c r="AB56" s="280" t="s">
        <v>29</v>
      </c>
      <c r="AC56" s="280" t="s">
        <v>30</v>
      </c>
      <c r="AD56" s="280" t="s">
        <v>31</v>
      </c>
      <c r="AE56" s="280" t="s">
        <v>32</v>
      </c>
      <c r="AF56" s="280"/>
      <c r="AG56" s="283"/>
      <c r="AH56" s="282" t="s">
        <v>15</v>
      </c>
      <c r="AJ56" s="271"/>
      <c r="AK56" s="284" t="s">
        <v>9</v>
      </c>
      <c r="AL56" s="273"/>
      <c r="AM56" s="274"/>
      <c r="AN56" s="285" t="s">
        <v>26</v>
      </c>
      <c r="AO56" s="285"/>
      <c r="AP56" s="285" t="s">
        <v>2</v>
      </c>
      <c r="AQ56" s="285" t="s">
        <v>33</v>
      </c>
      <c r="AR56" s="286" t="s">
        <v>34</v>
      </c>
      <c r="AS56" s="285"/>
      <c r="AT56" s="285" t="s">
        <v>26</v>
      </c>
      <c r="AU56" s="285" t="s">
        <v>35</v>
      </c>
      <c r="AV56" s="285" t="s">
        <v>2</v>
      </c>
      <c r="AW56" s="287" t="s">
        <v>33</v>
      </c>
    </row>
    <row r="57" customFormat="false" ht="12.75" hidden="false" customHeight="false" outlineLevel="0" collapsed="false">
      <c r="A57" s="1" t="s">
        <v>141</v>
      </c>
      <c r="B57" s="1" t="n">
        <f aca="false">B56+1</f>
        <v>56</v>
      </c>
      <c r="C57" s="2" t="n">
        <f aca="false">C56*1000</f>
        <v>1E+165</v>
      </c>
      <c r="D57" s="8" t="n">
        <f aca="false">LEN(TEXT(C57,0))</f>
        <v>166</v>
      </c>
      <c r="E57" s="25"/>
      <c r="F57" s="8"/>
      <c r="G57" s="8"/>
      <c r="H57" s="16"/>
      <c r="I57" s="16"/>
      <c r="J57" s="16"/>
      <c r="K57" s="16"/>
      <c r="M57" s="35" t="s">
        <v>142</v>
      </c>
      <c r="N57" s="36" t="n">
        <v>2.38</v>
      </c>
      <c r="O57" s="37" t="s">
        <v>98</v>
      </c>
      <c r="P57" s="4" t="n">
        <f aca="false">N57*(VLOOKUP(O57,tab_fator[],3,0))</f>
        <v>2.38E+075</v>
      </c>
      <c r="Q57" s="36" t="n">
        <v>2.15</v>
      </c>
      <c r="R57" s="37" t="s">
        <v>98</v>
      </c>
      <c r="S57" s="4" t="n">
        <f aca="false">Q57*(VLOOKUP(R57,tab_fator[],3,0))</f>
        <v>2.15E+075</v>
      </c>
      <c r="T57" s="36" t="n">
        <v>2.09</v>
      </c>
      <c r="U57" s="37" t="s">
        <v>98</v>
      </c>
      <c r="V57" s="167" t="n">
        <f aca="false">T57*(VLOOKUP(U57,tab_fator[],3,0))</f>
        <v>2.09E+075</v>
      </c>
      <c r="W57" s="39" t="n">
        <f aca="false">_xlfn.RANK.EQ(V57,$V57:$V61)</f>
        <v>3</v>
      </c>
      <c r="X57" s="39"/>
      <c r="Y57" s="37" t="n">
        <f aca="false">MIN(V57,S57,P57)</f>
        <v>2.09E+075</v>
      </c>
      <c r="Z57" s="37" t="n">
        <f aca="false">MATCH(Y57,M57:V57,0)</f>
        <v>10</v>
      </c>
      <c r="AA57" s="37" t="n">
        <f aca="false">COLUMN($L$1)</f>
        <v>12</v>
      </c>
      <c r="AB57" s="37" t="n">
        <v>2</v>
      </c>
      <c r="AC57" s="37" t="n">
        <f aca="false">Z57+AA57-AB57</f>
        <v>20</v>
      </c>
      <c r="AD57" s="37" t="n">
        <f aca="false">ROW(X57)</f>
        <v>57</v>
      </c>
      <c r="AE57" s="37" t="n">
        <f aca="true" t="array" ref="AE57:AE57">INDIRECT(ADDRESS(AD57,AC57,1,1))</f>
        <v>2.09</v>
      </c>
      <c r="AF57" s="37" t="str">
        <f aca="true" t="array" ref="AF57:AF57">INDIRECT(ADDRESS(AD57,AC57+1,1,1))</f>
        <v>au</v>
      </c>
      <c r="AG57" s="39"/>
      <c r="AH57" s="37" t="str">
        <f aca="false">IF(AND(V57&lt;S57,V57&lt;P57),"Equilibrado","Ver")</f>
        <v>Equilibrado</v>
      </c>
      <c r="AJ57" s="40" t="s">
        <v>142</v>
      </c>
      <c r="AK57" s="36" t="n">
        <v>4</v>
      </c>
      <c r="AL57" s="39" t="n">
        <f aca="false">VLOOKUP($I$15,tab_fator[],2,0)-VLOOKUP(AQ57,tab_fator[],2,0)</f>
        <v>2</v>
      </c>
      <c r="AM57" s="5" t="str">
        <f aca="false">IF(AN57+AT57=6,"Equilibrado","Ver")</f>
        <v>Ver</v>
      </c>
      <c r="AN57" s="36" t="n">
        <f aca="false">_xlfn.RANK.EQ(AO57,AO57:AO61)</f>
        <v>3</v>
      </c>
      <c r="AO57" s="5" t="n">
        <f aca="false">AP57*(VLOOKUP(AQ57,tab_fator[],3,0))</f>
        <v>1.23E+076</v>
      </c>
      <c r="AP57" s="5" t="n">
        <f aca="false">'Transformação-Normal'!Q42</f>
        <v>12.3</v>
      </c>
      <c r="AQ57" s="3" t="str">
        <f aca="false">'Transformação-Normal'!R42</f>
        <v>au</v>
      </c>
      <c r="AR57" s="42" t="n">
        <f aca="false">AO57/SUM(AO57:AO61)</f>
        <v>0.134206219312118</v>
      </c>
      <c r="AS57" s="43" t="n">
        <f aca="false">(AP57*VLOOKUP(AQ57,tab_fator[],3,0))+
(AP58*VLOOKUP(AQ58,tab_fator[],3,0))+
(AP59*VLOOKUP(AQ59,tab_fator[],3,0))+
(AP60*VLOOKUP(AQ60,tab_fator[],3,0))+
(AP61*VLOOKUP(AQ61,tab_fator[],3,0))</f>
        <v>9.1650000000331E+076</v>
      </c>
      <c r="AT57" s="11" t="n">
        <f aca="false">_xlfn.RANK.EQ(AU57,$AU$57:$AU$61,1)</f>
        <v>2</v>
      </c>
      <c r="AU57" s="5" t="n">
        <f aca="false">AV57*(VLOOKUP(AW57,tab_fator[],3,0))</f>
        <v>3.94E+085</v>
      </c>
      <c r="AV57" s="5" t="n">
        <v>39.4</v>
      </c>
      <c r="AW57" s="37" t="s">
        <v>105</v>
      </c>
    </row>
    <row r="58" customFormat="false" ht="12.75" hidden="false" customHeight="false" outlineLevel="0" collapsed="false">
      <c r="A58" s="1" t="s">
        <v>143</v>
      </c>
      <c r="B58" s="1" t="n">
        <f aca="false">B57+1</f>
        <v>57</v>
      </c>
      <c r="C58" s="2" t="n">
        <f aca="false">C57*1000</f>
        <v>1E+168</v>
      </c>
      <c r="D58" s="8" t="n">
        <f aca="false">LEN(TEXT(C58,0))</f>
        <v>169</v>
      </c>
      <c r="E58" s="25"/>
      <c r="F58" s="8"/>
      <c r="G58" s="8"/>
      <c r="H58" s="16"/>
      <c r="I58" s="16"/>
      <c r="J58" s="16"/>
      <c r="K58" s="16"/>
      <c r="M58" s="288" t="s">
        <v>144</v>
      </c>
      <c r="N58" s="288" t="n">
        <v>2.8</v>
      </c>
      <c r="O58" s="289" t="s">
        <v>98</v>
      </c>
      <c r="P58" s="290" t="n">
        <f aca="false">N58*(VLOOKUP(O58,tab_fator[],3,0))</f>
        <v>2.8E+075</v>
      </c>
      <c r="Q58" s="288" t="n">
        <v>2.91</v>
      </c>
      <c r="R58" s="289" t="s">
        <v>98</v>
      </c>
      <c r="S58" s="291" t="n">
        <f aca="false">Q58*(VLOOKUP(R58,tab_fator[],3,0))</f>
        <v>2.91E+075</v>
      </c>
      <c r="T58" s="288" t="n">
        <v>2.55</v>
      </c>
      <c r="U58" s="289" t="s">
        <v>98</v>
      </c>
      <c r="V58" s="292" t="n">
        <f aca="false">T58*(VLOOKUP(U58,tab_fator[],3,0))</f>
        <v>2.55E+075</v>
      </c>
      <c r="W58" s="293" t="n">
        <f aca="false">_xlfn.RANK.EQ(V58,$V57:$V61)</f>
        <v>2</v>
      </c>
      <c r="X58" s="294"/>
      <c r="Y58" s="289" t="n">
        <f aca="false">MIN(V58,S58,P58)</f>
        <v>2.55E+075</v>
      </c>
      <c r="Z58" s="289" t="n">
        <f aca="false">MATCH(Y58,M58:V58,0)</f>
        <v>10</v>
      </c>
      <c r="AA58" s="289" t="n">
        <f aca="false">COLUMN($L$1)</f>
        <v>12</v>
      </c>
      <c r="AB58" s="289" t="n">
        <v>2</v>
      </c>
      <c r="AC58" s="289" t="n">
        <f aca="false">Z58+AA58-AB58</f>
        <v>20</v>
      </c>
      <c r="AD58" s="289" t="n">
        <f aca="false">ROW(X58)</f>
        <v>58</v>
      </c>
      <c r="AE58" s="289" t="n">
        <f aca="true" t="array" ref="AE58:AE58">INDIRECT(ADDRESS(AD58,AC58,1,1))</f>
        <v>2.55</v>
      </c>
      <c r="AF58" s="289" t="str">
        <f aca="true" t="array" ref="AF58:AF58">INDIRECT(ADDRESS(AD58,AC58+1,1,1))</f>
        <v>au</v>
      </c>
      <c r="AG58" s="293"/>
      <c r="AH58" s="289" t="str">
        <f aca="false">IF(AND(V58&lt;S58,V58&lt;P58),"Equilibrado","Ver")</f>
        <v>Equilibrado</v>
      </c>
      <c r="AJ58" s="291" t="s">
        <v>144</v>
      </c>
      <c r="AK58" s="295" t="n">
        <v>3</v>
      </c>
      <c r="AL58" s="294" t="n">
        <f aca="false">VLOOKUP($I$15,tab_fator[],2,0)-VLOOKUP(AQ58,tab_fator[],2,0)</f>
        <v>2</v>
      </c>
      <c r="AM58" s="296" t="str">
        <f aca="false">IF(AN58+AT58=6,"Equilibrado","Ver")</f>
        <v>Ver</v>
      </c>
      <c r="AN58" s="295" t="n">
        <f aca="false">_xlfn.RANK.EQ(AO58,AO57:AO61)</f>
        <v>2</v>
      </c>
      <c r="AO58" s="296" t="n">
        <f aca="false">AP58*(VLOOKUP(AQ58,tab_fator[],3,0))</f>
        <v>1.5E+076</v>
      </c>
      <c r="AP58" s="296" t="n">
        <f aca="false">'Transformação-Normal'!Q43</f>
        <v>15</v>
      </c>
      <c r="AQ58" s="297" t="str">
        <f aca="false">'Transformação-Normal'!R43</f>
        <v>au</v>
      </c>
      <c r="AR58" s="298" t="n">
        <f aca="false">AO58/SUM(AO57:AO61)</f>
        <v>0.163666121112339</v>
      </c>
      <c r="AS58" s="297" t="str">
        <f aca="false">_xlfn.XLOOKUP((LEN(TEXT(AS57,0))),tab_fator[Dgts],tab_fator[Fator],"errro",-1,1)</f>
        <v>au</v>
      </c>
      <c r="AT58" s="299" t="n">
        <f aca="false">_xlfn.RANK.EQ(AU58,$AU$57:$AU$61,1)</f>
        <v>3</v>
      </c>
      <c r="AU58" s="296" t="n">
        <f aca="false">AV58*(VLOOKUP(AW58,tab_fator[],3,0))</f>
        <v>5.29E+087</v>
      </c>
      <c r="AV58" s="296" t="n">
        <v>5.29</v>
      </c>
      <c r="AW58" s="289" t="s">
        <v>100</v>
      </c>
    </row>
    <row r="59" customFormat="false" ht="12.75" hidden="false" customHeight="false" outlineLevel="0" collapsed="false">
      <c r="E59" s="8"/>
      <c r="F59" s="8"/>
      <c r="G59" s="8"/>
      <c r="H59" s="16"/>
      <c r="I59" s="16"/>
      <c r="J59" s="16"/>
      <c r="K59" s="16"/>
      <c r="M59" s="35" t="s">
        <v>145</v>
      </c>
      <c r="N59" s="36" t="n">
        <v>645</v>
      </c>
      <c r="O59" s="37" t="s">
        <v>95</v>
      </c>
      <c r="P59" s="4" t="n">
        <f aca="false">N59*(VLOOKUP(O59,tab_fator[],3,0))</f>
        <v>6.45E+068</v>
      </c>
      <c r="Q59" s="36" t="n">
        <v>612</v>
      </c>
      <c r="R59" s="37" t="s">
        <v>95</v>
      </c>
      <c r="S59" s="4" t="n">
        <f aca="false">Q59*(VLOOKUP(R59,tab_fator[],3,0))</f>
        <v>6.12E+068</v>
      </c>
      <c r="T59" s="36" t="n">
        <v>56.1</v>
      </c>
      <c r="U59" s="37" t="s">
        <v>92</v>
      </c>
      <c r="V59" s="167" t="n">
        <f aca="false">T59*(VLOOKUP(U59,tab_fator[],3,0))</f>
        <v>5.61E+064</v>
      </c>
      <c r="W59" s="39" t="n">
        <f aca="false">_xlfn.RANK.EQ(V59,$V57:$V61)</f>
        <v>5</v>
      </c>
      <c r="X59" s="39"/>
      <c r="Y59" s="37" t="n">
        <f aca="false">MIN(V59,S59,P59)</f>
        <v>5.61E+064</v>
      </c>
      <c r="Z59" s="37" t="n">
        <f aca="false">MATCH(Y59,M59:V59,0)</f>
        <v>10</v>
      </c>
      <c r="AA59" s="37" t="n">
        <f aca="false">COLUMN($L$1)</f>
        <v>12</v>
      </c>
      <c r="AB59" s="37" t="n">
        <v>2</v>
      </c>
      <c r="AC59" s="37" t="n">
        <f aca="false">Z59+AA59-AB59</f>
        <v>20</v>
      </c>
      <c r="AD59" s="37" t="n">
        <f aca="false">ROW(X59)</f>
        <v>59</v>
      </c>
      <c r="AE59" s="37" t="n">
        <f aca="true" t="array" ref="AE59:AE59">INDIRECT(ADDRESS(AD59,AC59,1,1))</f>
        <v>56.1</v>
      </c>
      <c r="AF59" s="37" t="str">
        <f aca="true" t="array" ref="AF59:AF59">INDIRECT(ADDRESS(AD59,AC59+1,1,1))</f>
        <v>aq</v>
      </c>
      <c r="AG59" s="39"/>
      <c r="AH59" s="37" t="str">
        <f aca="false">IF(AND(V59&lt;S59,V59&lt;P59),"Equilibrado","Ver")</f>
        <v>Equilibrado</v>
      </c>
      <c r="AJ59" s="40" t="s">
        <v>145</v>
      </c>
      <c r="AK59" s="36" t="n">
        <v>3</v>
      </c>
      <c r="AL59" s="39" t="n">
        <f aca="false">VLOOKUP($I$15,tab_fator[],2,0)-VLOOKUP(AQ59,tab_fator[],2,0)</f>
        <v>6</v>
      </c>
      <c r="AM59" s="5" t="str">
        <f aca="false">IF(AN59+AT59=6,"Equilibrado","Ver")</f>
        <v>Ver</v>
      </c>
      <c r="AN59" s="36" t="n">
        <f aca="false">_xlfn.RANK.EQ(AO59,AO57:AO61)</f>
        <v>5</v>
      </c>
      <c r="AO59" s="5" t="n">
        <f aca="false">AP59*(VLOOKUP(AQ59,tab_fator[],3,0))</f>
        <v>3.31E+065</v>
      </c>
      <c r="AP59" s="5" t="n">
        <f aca="false">'Transformação-Normal'!Q44</f>
        <v>331</v>
      </c>
      <c r="AQ59" s="3" t="str">
        <f aca="false">'Transformação-Normal'!R44</f>
        <v>aq</v>
      </c>
      <c r="AR59" s="42" t="n">
        <f aca="false">AO59/SUM(AO57:AO61)</f>
        <v>3.61156573921227E-012</v>
      </c>
      <c r="AS59" s="5" t="n">
        <f aca="false">VLOOKUP(AS58,tab_fator[],3,0)</f>
        <v>1E+075</v>
      </c>
      <c r="AT59" s="11" t="n">
        <f aca="false">_xlfn.RANK.EQ(AU59,$AU$57:$AU$61,1)</f>
        <v>5</v>
      </c>
      <c r="AU59" s="5" t="n">
        <f aca="false">AV59*(VLOOKUP(AW59,tab_fator[],3,0))</f>
        <v>3.83E+092</v>
      </c>
      <c r="AV59" s="5" t="n">
        <v>383</v>
      </c>
      <c r="AW59" s="37" t="s">
        <v>75</v>
      </c>
    </row>
    <row r="60" customFormat="false" ht="12.75" hidden="false" customHeight="true" outlineLevel="0" collapsed="false">
      <c r="F60" s="8"/>
      <c r="G60" s="8"/>
      <c r="H60" s="16"/>
      <c r="I60" s="16"/>
      <c r="J60" s="16"/>
      <c r="M60" s="288" t="s">
        <v>146</v>
      </c>
      <c r="N60" s="288" t="n">
        <v>1.27</v>
      </c>
      <c r="O60" s="289" t="s">
        <v>98</v>
      </c>
      <c r="P60" s="290" t="n">
        <f aca="false">N60*(VLOOKUP(O60,tab_fator[],3,0))</f>
        <v>1.27E+075</v>
      </c>
      <c r="Q60" s="288" t="n">
        <v>1.01</v>
      </c>
      <c r="R60" s="289" t="s">
        <v>98</v>
      </c>
      <c r="S60" s="291" t="n">
        <f aca="false">Q60*(VLOOKUP(R60,tab_fator[],3,0))</f>
        <v>1.01E+075</v>
      </c>
      <c r="T60" s="288" t="n">
        <v>805</v>
      </c>
      <c r="U60" s="289" t="s">
        <v>53</v>
      </c>
      <c r="V60" s="292" t="n">
        <f aca="false">T60*(VLOOKUP(U60,tab_fator[],3,0))</f>
        <v>8.05E+074</v>
      </c>
      <c r="W60" s="293" t="n">
        <f aca="false">_xlfn.RANK.EQ(V60,$V57:$V61)</f>
        <v>4</v>
      </c>
      <c r="X60" s="294"/>
      <c r="Y60" s="289" t="n">
        <f aca="false">MIN(V60,S60,P60)</f>
        <v>8.05E+074</v>
      </c>
      <c r="Z60" s="289" t="n">
        <f aca="false">MATCH(Y60,M60:V60,0)</f>
        <v>10</v>
      </c>
      <c r="AA60" s="289" t="n">
        <f aca="false">COLUMN($L$1)</f>
        <v>12</v>
      </c>
      <c r="AB60" s="289" t="n">
        <v>2</v>
      </c>
      <c r="AC60" s="289" t="n">
        <f aca="false">Z60+AA60-AB60</f>
        <v>20</v>
      </c>
      <c r="AD60" s="289" t="n">
        <f aca="false">ROW(X60)</f>
        <v>60</v>
      </c>
      <c r="AE60" s="289" t="n">
        <f aca="true" t="array" ref="AE60:AE60">INDIRECT(ADDRESS(AD60,AC60,1,1))</f>
        <v>805</v>
      </c>
      <c r="AF60" s="289" t="str">
        <f aca="true" t="array" ref="AF60:AF60">INDIRECT(ADDRESS(AD60,AC60+1,1,1))</f>
        <v>at</v>
      </c>
      <c r="AG60" s="293"/>
      <c r="AH60" s="289" t="str">
        <f aca="false">IF(AND(V60&lt;S60,V60&lt;P60),"Equilibrado","Ver")</f>
        <v>Equilibrado</v>
      </c>
      <c r="AJ60" s="291" t="s">
        <v>146</v>
      </c>
      <c r="AK60" s="295" t="n">
        <v>2</v>
      </c>
      <c r="AL60" s="294" t="n">
        <f aca="false">VLOOKUP($I$15,tab_fator[],2,0)-VLOOKUP(AQ60,tab_fator[],2,0)</f>
        <v>2</v>
      </c>
      <c r="AM60" s="296" t="str">
        <f aca="false">IF(AN60+AT60=6,"Equilibrado","Ver")</f>
        <v>Ver</v>
      </c>
      <c r="AN60" s="295" t="n">
        <f aca="false">_xlfn.RANK.EQ(AO60,AO57:AO61)</f>
        <v>4</v>
      </c>
      <c r="AO60" s="296" t="n">
        <f aca="false">AP60*(VLOOKUP(AQ60,tab_fator[],3,0))</f>
        <v>4.75E+075</v>
      </c>
      <c r="AP60" s="296" t="n">
        <f aca="false">'Transformação-Normal'!Q45</f>
        <v>4.75</v>
      </c>
      <c r="AQ60" s="297" t="str">
        <f aca="false">'Transformação-Normal'!R45</f>
        <v>au</v>
      </c>
      <c r="AR60" s="298" t="n">
        <f aca="false">AO60/SUM(AO57:AO61)</f>
        <v>0.0518276050189072</v>
      </c>
      <c r="AS60" s="297"/>
      <c r="AT60" s="299" t="n">
        <f aca="false">_xlfn.RANK.EQ(AU60,$AU$57:$AU$61,1)</f>
        <v>1</v>
      </c>
      <c r="AU60" s="296" t="n">
        <f aca="false">AV60*(VLOOKUP(AW60,tab_fator[],3,0))</f>
        <v>4.32E+083</v>
      </c>
      <c r="AV60" s="296" t="n">
        <v>432</v>
      </c>
      <c r="AW60" s="289" t="s">
        <v>103</v>
      </c>
    </row>
    <row r="61" customFormat="false" ht="12.75" hidden="false" customHeight="true" outlineLevel="0" collapsed="false">
      <c r="M61" s="71" t="s">
        <v>147</v>
      </c>
      <c r="N61" s="72" t="n">
        <v>10.1</v>
      </c>
      <c r="O61" s="73" t="s">
        <v>98</v>
      </c>
      <c r="P61" s="184" t="n">
        <f aca="false">N61*(VLOOKUP(O61,tab_fator[],3,0))</f>
        <v>1.01E+076</v>
      </c>
      <c r="Q61" s="72" t="n">
        <v>10.8</v>
      </c>
      <c r="R61" s="73" t="s">
        <v>98</v>
      </c>
      <c r="S61" s="184" t="n">
        <f aca="false">Q61*(VLOOKUP(R61,tab_fator[],3,0))</f>
        <v>1.08E+076</v>
      </c>
      <c r="T61" s="72" t="n">
        <v>12.2</v>
      </c>
      <c r="U61" s="73" t="s">
        <v>98</v>
      </c>
      <c r="V61" s="185" t="n">
        <f aca="false">T61*(VLOOKUP(U61,tab_fator[],3,0))</f>
        <v>1.22E+076</v>
      </c>
      <c r="W61" s="76" t="n">
        <f aca="false">_xlfn.RANK.EQ(V61,$V57:$V61)</f>
        <v>1</v>
      </c>
      <c r="X61" s="76"/>
      <c r="Y61" s="73" t="n">
        <f aca="false">MIN(V61,S61,P61)</f>
        <v>1.01E+076</v>
      </c>
      <c r="Z61" s="73" t="n">
        <f aca="false">MATCH(Y61,M61:V61,0)</f>
        <v>4</v>
      </c>
      <c r="AA61" s="73" t="n">
        <f aca="false">COLUMN($L$1)</f>
        <v>12</v>
      </c>
      <c r="AB61" s="73" t="n">
        <v>2</v>
      </c>
      <c r="AC61" s="73" t="n">
        <f aca="false">Z61+AA61-AB61</f>
        <v>14</v>
      </c>
      <c r="AD61" s="73" t="n">
        <f aca="false">ROW(X61)</f>
        <v>61</v>
      </c>
      <c r="AE61" s="73" t="n">
        <f aca="true" t="array" ref="AE61:AE61">INDIRECT(ADDRESS(AD61,AC61,1,1))</f>
        <v>10.1</v>
      </c>
      <c r="AF61" s="73" t="str">
        <f aca="true" t="array" ref="AF61:AF61">INDIRECT(ADDRESS(AD61,AC61+1,1,1))</f>
        <v>au</v>
      </c>
      <c r="AG61" s="76"/>
      <c r="AH61" s="73" t="str">
        <f aca="false">IF(AND(V61&lt;S61,V61&lt;P61),"Equilibrado","Ver")</f>
        <v>Ver</v>
      </c>
      <c r="AJ61" s="40" t="s">
        <v>147</v>
      </c>
      <c r="AK61" s="36" t="n">
        <v>2</v>
      </c>
      <c r="AL61" s="39" t="n">
        <f aca="false">VLOOKUP($I$15,tab_fator[],2,0)-VLOOKUP(AQ61,tab_fator[],2,0)</f>
        <v>2</v>
      </c>
      <c r="AM61" s="5" t="str">
        <f aca="false">IF(AN61+AT61=6,"Equilibrado","Ver")</f>
        <v>Ver</v>
      </c>
      <c r="AN61" s="36" t="n">
        <f aca="false">_xlfn.RANK.EQ(AO61,AO57:AO61)</f>
        <v>1</v>
      </c>
      <c r="AO61" s="5" t="n">
        <f aca="false">AP61*(VLOOKUP(AQ61,tab_fator[],3,0))</f>
        <v>5.96E+076</v>
      </c>
      <c r="AP61" s="5" t="n">
        <f aca="false">'Transformação-Normal'!Q46</f>
        <v>59.6</v>
      </c>
      <c r="AQ61" s="3" t="str">
        <f aca="false">'Transformação-Normal'!R46</f>
        <v>au</v>
      </c>
      <c r="AR61" s="42" t="n">
        <f aca="false">AO61/SUM(AO57:AO61)</f>
        <v>0.650300054553025</v>
      </c>
      <c r="AS61" s="3"/>
      <c r="AT61" s="11" t="n">
        <f aca="false">_xlfn.RANK.EQ(AU61,$AU$57:$AU$61,1)</f>
        <v>4</v>
      </c>
      <c r="AU61" s="5" t="n">
        <f aca="false">AV61*(VLOOKUP(AW61,tab_fator[],3,0))</f>
        <v>9.18E+089</v>
      </c>
      <c r="AV61" s="5" t="n">
        <v>918</v>
      </c>
      <c r="AW61" s="37" t="s">
        <v>100</v>
      </c>
    </row>
    <row r="62" customFormat="false" ht="12.75" hidden="false" customHeight="true" outlineLevel="0" collapsed="false">
      <c r="X62" s="5"/>
      <c r="AG62" s="5"/>
      <c r="AJ62" s="300" t="s">
        <v>61</v>
      </c>
      <c r="AK62" s="270" t="str">
        <f aca="false">CONCATENATE(SUM(AK57:AK61)," / ",6*5)</f>
        <v>14 / 30</v>
      </c>
      <c r="AL62" s="270"/>
      <c r="AM62" s="270"/>
      <c r="AN62" s="301"/>
      <c r="AO62" s="301"/>
      <c r="AP62" s="301" t="str">
        <f aca="false">IF(AS57/AS59&lt;10,(TEXT(AS57/AS59,"#,##")),IF(AS57/AS59&lt;100,TEXT(AS57/AS59,"##,#"),TEXT(AS57/AS59,"###")))</f>
        <v>91,7</v>
      </c>
      <c r="AQ62" s="301" t="str">
        <f aca="false">AS58</f>
        <v>au</v>
      </c>
      <c r="AR62" s="302"/>
      <c r="AS62" s="301"/>
      <c r="AT62" s="303" t="str">
        <f aca="false">IF((AP62*VLOOKUP(AQ62,tab_fator[],3,0))&gt;(_xlfn.XLOOKUP(1,AT57:AT61,AV57:AV61,"",0,1)*VLOOKUP((_xlfn.XLOOKUP(1,AT57:AT61,AW57:AW61,"",0,1)),tab_fator[],3,0)),"Pronto","Esperar")</f>
        <v>Esperar</v>
      </c>
      <c r="AU62" s="303"/>
      <c r="AV62" s="303"/>
      <c r="AW62" s="303"/>
    </row>
    <row r="64" customFormat="false" ht="12.75" hidden="false" customHeight="true" outlineLevel="0" collapsed="false">
      <c r="X64" s="5"/>
      <c r="AG64" s="5"/>
      <c r="AJ64" s="304" t="s">
        <v>148</v>
      </c>
      <c r="AK64" s="304"/>
      <c r="AL64" s="304"/>
      <c r="AM64" s="304"/>
      <c r="AN64" s="304"/>
      <c r="AO64" s="304"/>
      <c r="AP64" s="304"/>
      <c r="AQ64" s="304"/>
      <c r="AR64" s="304"/>
      <c r="AS64" s="304"/>
      <c r="AT64" s="304"/>
      <c r="AU64" s="304"/>
      <c r="AV64" s="304"/>
      <c r="AW64" s="304"/>
    </row>
    <row r="65" customFormat="false" ht="12.75" hidden="false" customHeight="true" outlineLevel="0" collapsed="false">
      <c r="M65" s="305" t="s">
        <v>148</v>
      </c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  <c r="AA65" s="305"/>
      <c r="AB65" s="305"/>
      <c r="AC65" s="305"/>
      <c r="AD65" s="305"/>
      <c r="AE65" s="305"/>
      <c r="AF65" s="305"/>
      <c r="AG65" s="305"/>
      <c r="AH65" s="305"/>
      <c r="AJ65" s="306" t="s">
        <v>12</v>
      </c>
      <c r="AK65" s="307" t="s">
        <v>69</v>
      </c>
      <c r="AL65" s="308" t="s">
        <v>14</v>
      </c>
      <c r="AM65" s="309" t="s">
        <v>15</v>
      </c>
      <c r="AN65" s="310" t="s">
        <v>16</v>
      </c>
      <c r="AO65" s="310"/>
      <c r="AP65" s="310"/>
      <c r="AQ65" s="310"/>
      <c r="AR65" s="310"/>
      <c r="AS65" s="311"/>
      <c r="AT65" s="310" t="s">
        <v>17</v>
      </c>
      <c r="AU65" s="310"/>
      <c r="AV65" s="310"/>
      <c r="AW65" s="310"/>
    </row>
    <row r="66" customFormat="false" ht="12.75" hidden="false" customHeight="true" outlineLevel="0" collapsed="false">
      <c r="M66" s="312" t="s">
        <v>12</v>
      </c>
      <c r="N66" s="312" t="s">
        <v>20</v>
      </c>
      <c r="O66" s="312"/>
      <c r="P66" s="313" t="s">
        <v>21</v>
      </c>
      <c r="Q66" s="312" t="s">
        <v>22</v>
      </c>
      <c r="R66" s="312"/>
      <c r="S66" s="313" t="s">
        <v>23</v>
      </c>
      <c r="T66" s="312" t="s">
        <v>24</v>
      </c>
      <c r="U66" s="312"/>
      <c r="V66" s="314" t="s">
        <v>25</v>
      </c>
      <c r="W66" s="315" t="s">
        <v>26</v>
      </c>
      <c r="X66" s="316"/>
      <c r="Y66" s="317" t="s">
        <v>2</v>
      </c>
      <c r="Z66" s="315" t="s">
        <v>27</v>
      </c>
      <c r="AA66" s="315" t="s">
        <v>28</v>
      </c>
      <c r="AB66" s="315" t="s">
        <v>29</v>
      </c>
      <c r="AC66" s="315" t="s">
        <v>30</v>
      </c>
      <c r="AD66" s="315" t="s">
        <v>31</v>
      </c>
      <c r="AE66" s="315" t="s">
        <v>32</v>
      </c>
      <c r="AF66" s="315"/>
      <c r="AG66" s="318"/>
      <c r="AH66" s="317" t="s">
        <v>15</v>
      </c>
      <c r="AJ66" s="306"/>
      <c r="AK66" s="319" t="s">
        <v>9</v>
      </c>
      <c r="AL66" s="308"/>
      <c r="AM66" s="309"/>
      <c r="AN66" s="320" t="s">
        <v>26</v>
      </c>
      <c r="AO66" s="320"/>
      <c r="AP66" s="320" t="s">
        <v>2</v>
      </c>
      <c r="AQ66" s="320" t="s">
        <v>33</v>
      </c>
      <c r="AR66" s="321" t="s">
        <v>34</v>
      </c>
      <c r="AS66" s="320"/>
      <c r="AT66" s="320" t="s">
        <v>26</v>
      </c>
      <c r="AU66" s="320" t="s">
        <v>35</v>
      </c>
      <c r="AV66" s="320" t="s">
        <v>2</v>
      </c>
      <c r="AW66" s="322" t="s">
        <v>33</v>
      </c>
    </row>
    <row r="67" customFormat="false" ht="12.75" hidden="false" customHeight="true" outlineLevel="0" collapsed="false">
      <c r="M67" s="35" t="s">
        <v>149</v>
      </c>
      <c r="N67" s="36" t="n">
        <v>1.47</v>
      </c>
      <c r="O67" s="37" t="s">
        <v>98</v>
      </c>
      <c r="P67" s="4" t="n">
        <f aca="false">N67*(VLOOKUP(O67,tab_fator[],3,0))</f>
        <v>1.47E+075</v>
      </c>
      <c r="Q67" s="36" t="n">
        <v>1.44</v>
      </c>
      <c r="R67" s="37" t="s">
        <v>98</v>
      </c>
      <c r="S67" s="4" t="n">
        <f aca="false">Q67*(VLOOKUP(R67,tab_fator[],3,0))</f>
        <v>1.44E+075</v>
      </c>
      <c r="T67" s="36" t="n">
        <v>1.4</v>
      </c>
      <c r="U67" s="37" t="s">
        <v>98</v>
      </c>
      <c r="V67" s="167" t="n">
        <f aca="false">T67*(VLOOKUP(U67,tab_fator[],3,0))</f>
        <v>1.4E+075</v>
      </c>
      <c r="W67" s="39" t="n">
        <f aca="false">_xlfn.RANK.EQ(V67,$V67:$V71)</f>
        <v>5</v>
      </c>
      <c r="X67" s="39"/>
      <c r="Y67" s="37" t="n">
        <f aca="false">MIN(V67,S67,P67)</f>
        <v>1.4E+075</v>
      </c>
      <c r="Z67" s="37" t="n">
        <f aca="false">MATCH(Y67,M67:V67,0)</f>
        <v>10</v>
      </c>
      <c r="AA67" s="37" t="n">
        <f aca="false">COLUMN($L$1)</f>
        <v>12</v>
      </c>
      <c r="AB67" s="37" t="n">
        <v>2</v>
      </c>
      <c r="AC67" s="37" t="n">
        <f aca="false">Z67+AA67-AB67</f>
        <v>20</v>
      </c>
      <c r="AD67" s="37" t="n">
        <f aca="false">ROW(X67)</f>
        <v>67</v>
      </c>
      <c r="AE67" s="37" t="n">
        <f aca="true" t="array" ref="AE67:AE67">INDIRECT(ADDRESS(AD67,AC67,1,1))</f>
        <v>1.4</v>
      </c>
      <c r="AF67" s="37" t="str">
        <f aca="true" t="array" ref="AF67:AF67">INDIRECT(ADDRESS(AD67,AC67+1,1,1))</f>
        <v>au</v>
      </c>
      <c r="AG67" s="39"/>
      <c r="AH67" s="37" t="str">
        <f aca="false">IF(AND(V67&lt;S67,V67&lt;P67),"Equilibrado","Ver")</f>
        <v>Equilibrado</v>
      </c>
      <c r="AJ67" s="40" t="s">
        <v>149</v>
      </c>
      <c r="AK67" s="36" t="n">
        <v>4</v>
      </c>
      <c r="AL67" s="39" t="n">
        <f aca="false">VLOOKUP($I$16,tab_fator[],2,0)-VLOOKUP(AQ67,tab_fator[],2,0)</f>
        <v>3</v>
      </c>
      <c r="AM67" s="5" t="str">
        <f aca="false">IF(AN67+AT67=6,"Equilibrado","Ver")</f>
        <v>Equilibrado</v>
      </c>
      <c r="AN67" s="36" t="n">
        <f aca="false">IFERROR(_xlfn.RANK.EQ(AO67,AO67:AO71),"")</f>
        <v>5</v>
      </c>
      <c r="AO67" s="5" t="n">
        <f aca="false">AP67*(VLOOKUP(AQ67,tab_fator[],3,0))</f>
        <v>8.26E+075</v>
      </c>
      <c r="AP67" s="5" t="n">
        <f aca="false">'Transformação-Normal'!Q49</f>
        <v>8.26</v>
      </c>
      <c r="AQ67" s="3" t="str">
        <f aca="false">'Transformação-Normal'!R49</f>
        <v>au</v>
      </c>
      <c r="AR67" s="42" t="n">
        <f aca="false">AO67/SUM(AO67:AO71)</f>
        <v>0.000696678379185342</v>
      </c>
      <c r="AS67" s="43" t="n">
        <f aca="false">(AP67*VLOOKUP(AQ67,tab_fator[],3,0))+
(AP68*VLOOKUP(AQ68,tab_fator[],3,0))+
(AP69*VLOOKUP(AQ69,tab_fator[],3,0))+
(AP70*VLOOKUP(AQ70,tab_fator[],3,0))+
(AP71*VLOOKUP(AQ71,tab_fator[],3,0))</f>
        <v>1.185626E+079</v>
      </c>
      <c r="AT67" s="11" t="n">
        <f aca="false">IFERROR(_xlfn.RANK.EQ(AU67,$AU$67:$AU$71,1),"")</f>
        <v>1</v>
      </c>
      <c r="AU67" s="5" t="n">
        <f aca="false">AV67*(VLOOKUP(AW67,tab_fator[],3,0))</f>
        <v>5.51E+085</v>
      </c>
      <c r="AV67" s="5" t="n">
        <v>55.1</v>
      </c>
      <c r="AW67" s="37" t="s">
        <v>105</v>
      </c>
    </row>
    <row r="68" customFormat="false" ht="12.75" hidden="false" customHeight="true" outlineLevel="0" collapsed="false">
      <c r="M68" s="323" t="s">
        <v>150</v>
      </c>
      <c r="N68" s="323" t="n">
        <v>23.4</v>
      </c>
      <c r="O68" s="324" t="s">
        <v>98</v>
      </c>
      <c r="P68" s="325" t="n">
        <f aca="false">N68*(VLOOKUP(O68,tab_fator[],3,0))</f>
        <v>2.34E+076</v>
      </c>
      <c r="Q68" s="323" t="n">
        <v>22.8</v>
      </c>
      <c r="R68" s="324" t="s">
        <v>98</v>
      </c>
      <c r="S68" s="326" t="n">
        <f aca="false">Q68*(VLOOKUP(R68,tab_fator[],3,0))</f>
        <v>2.28E+076</v>
      </c>
      <c r="T68" s="323" t="n">
        <v>21.7</v>
      </c>
      <c r="U68" s="324" t="s">
        <v>98</v>
      </c>
      <c r="V68" s="327" t="n">
        <f aca="false">T68*(VLOOKUP(U68,tab_fator[],3,0))</f>
        <v>2.17E+076</v>
      </c>
      <c r="W68" s="328" t="n">
        <f aca="false">_xlfn.RANK.EQ(V68,$V67:$V71)</f>
        <v>4</v>
      </c>
      <c r="X68" s="329"/>
      <c r="Y68" s="324" t="n">
        <f aca="false">MIN(V68,S68,P68)</f>
        <v>2.17E+076</v>
      </c>
      <c r="Z68" s="324" t="n">
        <f aca="false">MATCH(Y68,M68:V68,0)</f>
        <v>10</v>
      </c>
      <c r="AA68" s="324" t="n">
        <f aca="false">COLUMN($L$1)</f>
        <v>12</v>
      </c>
      <c r="AB68" s="324" t="n">
        <v>2</v>
      </c>
      <c r="AC68" s="324" t="n">
        <f aca="false">Z68+AA68-AB68</f>
        <v>20</v>
      </c>
      <c r="AD68" s="324" t="n">
        <f aca="false">ROW(X68)</f>
        <v>68</v>
      </c>
      <c r="AE68" s="324" t="n">
        <f aca="true" t="array" ref="AE68:AE68">INDIRECT(ADDRESS(AD68,AC68,1,1))</f>
        <v>21.7</v>
      </c>
      <c r="AF68" s="324" t="str">
        <f aca="true" t="array" ref="AF68:AF68">INDIRECT(ADDRESS(AD68,AC68+1,1,1))</f>
        <v>au</v>
      </c>
      <c r="AG68" s="328"/>
      <c r="AH68" s="324" t="str">
        <f aca="false">IF(AND(V68&lt;S68,V68&lt;P68),"Equilibrado","Ver")</f>
        <v>Equilibrado</v>
      </c>
      <c r="AJ68" s="326" t="s">
        <v>150</v>
      </c>
      <c r="AK68" s="330" t="n">
        <v>3</v>
      </c>
      <c r="AL68" s="329" t="n">
        <f aca="false">VLOOKUP($I$16,tab_fator[],2,0)-VLOOKUP(AQ68,tab_fator[],2,0)</f>
        <v>3</v>
      </c>
      <c r="AM68" s="331" t="str">
        <f aca="false">IF(AN68+AT68=6,"Equilibrado","Ver")</f>
        <v>Equilibrado</v>
      </c>
      <c r="AN68" s="330" t="n">
        <f aca="false">IFERROR(_xlfn.RANK.EQ(AO68,AO67:AO71),"")</f>
        <v>4</v>
      </c>
      <c r="AO68" s="331" t="n">
        <f aca="false">AP68*(VLOOKUP(AQ68,tab_fator[],3,0))</f>
        <v>1.28E+077</v>
      </c>
      <c r="AP68" s="331" t="n">
        <f aca="false">'Transformação-Normal'!Q50</f>
        <v>128</v>
      </c>
      <c r="AQ68" s="332" t="str">
        <f aca="false">'Transformação-Normal'!R50</f>
        <v>au</v>
      </c>
      <c r="AR68" s="333" t="n">
        <f aca="false">AO68/SUM(AO67:AO71)</f>
        <v>0.0107959845684896</v>
      </c>
      <c r="AS68" s="332" t="str">
        <f aca="false">_xlfn.XLOOKUP((LEN(TEXT(AS67,0))),tab_fator[Dgts],tab_fator[Fator],"errro",-1,1)</f>
        <v>av</v>
      </c>
      <c r="AT68" s="334" t="n">
        <f aca="false">IFERROR(_xlfn.RANK.EQ(AU68,$AU$67:$AU$71,1),"")</f>
        <v>2</v>
      </c>
      <c r="AU68" s="331" t="n">
        <f aca="false">AV68*(VLOOKUP(AW68,tab_fator[],3,0))</f>
        <v>7.4E+087</v>
      </c>
      <c r="AV68" s="331" t="n">
        <v>7.4</v>
      </c>
      <c r="AW68" s="324" t="s">
        <v>100</v>
      </c>
    </row>
    <row r="69" customFormat="false" ht="12.75" hidden="false" customHeight="true" outlineLevel="0" collapsed="false">
      <c r="M69" s="35" t="s">
        <v>151</v>
      </c>
      <c r="N69" s="36" t="n">
        <v>408</v>
      </c>
      <c r="O69" s="37" t="s">
        <v>98</v>
      </c>
      <c r="P69" s="4" t="n">
        <f aca="false">N69*(VLOOKUP(O69,tab_fator[],3,0))</f>
        <v>4.08E+077</v>
      </c>
      <c r="Q69" s="36" t="n">
        <v>429</v>
      </c>
      <c r="R69" s="37" t="s">
        <v>98</v>
      </c>
      <c r="S69" s="4" t="n">
        <f aca="false">Q69*(VLOOKUP(R69,tab_fator[],3,0))</f>
        <v>4.29E+077</v>
      </c>
      <c r="T69" s="36" t="n">
        <v>376</v>
      </c>
      <c r="U69" s="37" t="s">
        <v>98</v>
      </c>
      <c r="V69" s="167" t="n">
        <f aca="false">T69*(VLOOKUP(U69,tab_fator[],3,0))</f>
        <v>3.76E+077</v>
      </c>
      <c r="W69" s="39" t="n">
        <f aca="false">_xlfn.RANK.EQ(V69,$V67:$V71)</f>
        <v>2</v>
      </c>
      <c r="X69" s="39"/>
      <c r="Y69" s="37" t="n">
        <f aca="false">MIN(V69,S69,P69)</f>
        <v>3.76E+077</v>
      </c>
      <c r="Z69" s="37" t="n">
        <f aca="false">MATCH(Y69,M69:V69,0)</f>
        <v>10</v>
      </c>
      <c r="AA69" s="37" t="n">
        <f aca="false">COLUMN($L$1)</f>
        <v>12</v>
      </c>
      <c r="AB69" s="37" t="n">
        <v>2</v>
      </c>
      <c r="AC69" s="37" t="n">
        <f aca="false">Z69+AA69-AB69</f>
        <v>20</v>
      </c>
      <c r="AD69" s="37" t="n">
        <f aca="false">ROW(X69)</f>
        <v>69</v>
      </c>
      <c r="AE69" s="37" t="n">
        <f aca="true" t="array" ref="AE69:AE69">INDIRECT(ADDRESS(AD69,AC69,1,1))</f>
        <v>376</v>
      </c>
      <c r="AF69" s="37" t="str">
        <f aca="true" t="array" ref="AF69:AF69">INDIRECT(ADDRESS(AD69,AC69+1,1,1))</f>
        <v>au</v>
      </c>
      <c r="AG69" s="39"/>
      <c r="AH69" s="37" t="str">
        <f aca="false">IF(AND(V69&lt;S69,V69&lt;P69),"Equilibrado","Ver")</f>
        <v>Equilibrado</v>
      </c>
      <c r="AJ69" s="40" t="s">
        <v>151</v>
      </c>
      <c r="AK69" s="36" t="n">
        <v>3</v>
      </c>
      <c r="AL69" s="39" t="n">
        <f aca="false">VLOOKUP($I$16,tab_fator[],2,0)-VLOOKUP(AQ69,tab_fator[],2,0)</f>
        <v>2</v>
      </c>
      <c r="AM69" s="5" t="str">
        <f aca="false">IF(AN69+AT69=6,"Equilibrado","Ver")</f>
        <v>Equilibrado</v>
      </c>
      <c r="AN69" s="36" t="n">
        <f aca="false">IFERROR(_xlfn.RANK.EQ(AO69,AO67:AO71),"")</f>
        <v>2</v>
      </c>
      <c r="AO69" s="5" t="n">
        <f aca="false">AP69*(VLOOKUP(AQ69,tab_fator[],3,0))</f>
        <v>2.22E+078</v>
      </c>
      <c r="AP69" s="5" t="n">
        <f aca="false">'Transformação-Normal'!Q51</f>
        <v>2.22</v>
      </c>
      <c r="AQ69" s="3" t="str">
        <f aca="false">'Transformação-Normal'!R51</f>
        <v>av</v>
      </c>
      <c r="AR69" s="42" t="n">
        <f aca="false">AO69/SUM(AO67:AO71)</f>
        <v>0.187242857359741</v>
      </c>
      <c r="AS69" s="5" t="n">
        <f aca="false">VLOOKUP(AS68,tab_fator[],3,0)</f>
        <v>1E+078</v>
      </c>
      <c r="AT69" s="11" t="n">
        <f aca="false">IFERROR(_xlfn.RANK.EQ(AU69,$AU$67:$AU$71,1),"")</f>
        <v>4</v>
      </c>
      <c r="AU69" s="5" t="n">
        <f aca="false">AV69*(VLOOKUP(AW69,tab_fator[],3,0))</f>
        <v>5.37E+092</v>
      </c>
      <c r="AV69" s="5" t="n">
        <v>537</v>
      </c>
      <c r="AW69" s="37" t="s">
        <v>75</v>
      </c>
    </row>
    <row r="70" customFormat="false" ht="12.75" hidden="false" customHeight="true" outlineLevel="0" collapsed="false">
      <c r="M70" s="323" t="s">
        <v>152</v>
      </c>
      <c r="N70" s="323" t="n">
        <v>1.42</v>
      </c>
      <c r="O70" s="324" t="s">
        <v>101</v>
      </c>
      <c r="P70" s="325" t="n">
        <f aca="false">N70*(VLOOKUP(O70,tab_fator[],3,0))</f>
        <v>1.42E+078</v>
      </c>
      <c r="Q70" s="323" t="n">
        <v>1.42</v>
      </c>
      <c r="R70" s="324" t="s">
        <v>101</v>
      </c>
      <c r="S70" s="326" t="n">
        <f aca="false">Q70*(VLOOKUP(R70,tab_fator[],3,0))</f>
        <v>1.42E+078</v>
      </c>
      <c r="T70" s="323" t="n">
        <v>1.36</v>
      </c>
      <c r="U70" s="324" t="s">
        <v>101</v>
      </c>
      <c r="V70" s="327" t="n">
        <f aca="false">T70*(VLOOKUP(U70,tab_fator[],3,0))</f>
        <v>1.36E+078</v>
      </c>
      <c r="W70" s="328" t="n">
        <f aca="false">_xlfn.RANK.EQ(V70,$V67:$V71)</f>
        <v>1</v>
      </c>
      <c r="X70" s="329"/>
      <c r="Y70" s="324" t="n">
        <f aca="false">MIN(V70,S70,P70)</f>
        <v>1.36E+078</v>
      </c>
      <c r="Z70" s="324" t="n">
        <f aca="false">MATCH(Y70,M70:V70,0)</f>
        <v>10</v>
      </c>
      <c r="AA70" s="324" t="n">
        <f aca="false">COLUMN($L$1)</f>
        <v>12</v>
      </c>
      <c r="AB70" s="324" t="n">
        <v>2</v>
      </c>
      <c r="AC70" s="324" t="n">
        <f aca="false">Z70+AA70-AB70</f>
        <v>20</v>
      </c>
      <c r="AD70" s="324" t="n">
        <f aca="false">ROW(X70)</f>
        <v>70</v>
      </c>
      <c r="AE70" s="324" t="n">
        <f aca="true" t="array" ref="AE70:AE70">INDIRECT(ADDRESS(AD70,AC70,1,1))</f>
        <v>1.36</v>
      </c>
      <c r="AF70" s="324" t="str">
        <f aca="true" t="array" ref="AF70:AF70">INDIRECT(ADDRESS(AD70,AC70+1,1,1))</f>
        <v>av</v>
      </c>
      <c r="AG70" s="328"/>
      <c r="AH70" s="324" t="str">
        <f aca="false">IF(AND(V70&lt;S70,V70&lt;P70),"Equilibrado","Ver")</f>
        <v>Equilibrado</v>
      </c>
      <c r="AJ70" s="326" t="s">
        <v>152</v>
      </c>
      <c r="AK70" s="330" t="n">
        <v>3</v>
      </c>
      <c r="AL70" s="329" t="n">
        <f aca="false">VLOOKUP($I$16,tab_fator[],2,0)-VLOOKUP(AQ70,tab_fator[],2,0)</f>
        <v>2</v>
      </c>
      <c r="AM70" s="331" t="str">
        <f aca="false">IF(AN70+AT70=6,"Equilibrado","Ver")</f>
        <v>Equilibrado</v>
      </c>
      <c r="AN70" s="330" t="n">
        <f aca="false">IFERROR(_xlfn.RANK.EQ(AO70,AO67:AO71),"")</f>
        <v>1</v>
      </c>
      <c r="AO70" s="331" t="n">
        <f aca="false">AP70*(VLOOKUP(AQ70,tab_fator[],3,0))</f>
        <v>8.02E+078</v>
      </c>
      <c r="AP70" s="331" t="n">
        <f aca="false">'Transformação-Normal'!Q52</f>
        <v>8.02</v>
      </c>
      <c r="AQ70" s="332" t="str">
        <f aca="false">'Transformação-Normal'!R52</f>
        <v>av</v>
      </c>
      <c r="AR70" s="333" t="n">
        <f aca="false">AO70/SUM(AO67:AO71)</f>
        <v>0.676435908119424</v>
      </c>
      <c r="AS70" s="332"/>
      <c r="AT70" s="334" t="n">
        <f aca="false">IFERROR(_xlfn.RANK.EQ(AU70,$AU$67:$AU$71,1),"")</f>
        <v>5</v>
      </c>
      <c r="AU70" s="331" t="n">
        <f aca="false">AV70*(VLOOKUP(AW70,tab_fator[],3,0))</f>
        <v>1.28E+095</v>
      </c>
      <c r="AV70" s="331" t="n">
        <v>128</v>
      </c>
      <c r="AW70" s="324" t="s">
        <v>79</v>
      </c>
    </row>
    <row r="71" customFormat="false" ht="12.75" hidden="false" customHeight="true" outlineLevel="0" collapsed="false">
      <c r="M71" s="71" t="s">
        <v>153</v>
      </c>
      <c r="N71" s="72" t="n">
        <v>259</v>
      </c>
      <c r="O71" s="73" t="s">
        <v>98</v>
      </c>
      <c r="P71" s="184" t="n">
        <f aca="false">N71*(VLOOKUP(O71,tab_fator[],3,0))</f>
        <v>2.59E+077</v>
      </c>
      <c r="Q71" s="72" t="n">
        <v>276</v>
      </c>
      <c r="R71" s="73" t="s">
        <v>98</v>
      </c>
      <c r="S71" s="184" t="n">
        <f aca="false">Q71*(VLOOKUP(R71,tab_fator[],3,0))</f>
        <v>2.76E+077</v>
      </c>
      <c r="T71" s="72" t="n">
        <v>250</v>
      </c>
      <c r="U71" s="73" t="s">
        <v>98</v>
      </c>
      <c r="V71" s="185" t="n">
        <f aca="false">T71*(VLOOKUP(U71,tab_fator[],3,0))</f>
        <v>2.5E+077</v>
      </c>
      <c r="W71" s="76" t="n">
        <f aca="false">_xlfn.RANK.EQ(V71,$V67:$V71)</f>
        <v>3</v>
      </c>
      <c r="X71" s="76"/>
      <c r="Y71" s="73" t="n">
        <f aca="false">MIN(V71,S71,P71)</f>
        <v>2.5E+077</v>
      </c>
      <c r="Z71" s="73" t="n">
        <f aca="false">MATCH(Y71,M71:V71,0)</f>
        <v>10</v>
      </c>
      <c r="AA71" s="73" t="n">
        <f aca="false">COLUMN($L$1)</f>
        <v>12</v>
      </c>
      <c r="AB71" s="73" t="n">
        <v>2</v>
      </c>
      <c r="AC71" s="73" t="n">
        <f aca="false">Z71+AA71-AB71</f>
        <v>20</v>
      </c>
      <c r="AD71" s="73" t="n">
        <f aca="false">ROW(X71)</f>
        <v>71</v>
      </c>
      <c r="AE71" s="73" t="n">
        <f aca="true" t="array" ref="AE71:AE71">INDIRECT(ADDRESS(AD71,AC71,1,1))</f>
        <v>250</v>
      </c>
      <c r="AF71" s="73" t="str">
        <f aca="true" t="array" ref="AF71:AF71">INDIRECT(ADDRESS(AD71,AC71+1,1,1))</f>
        <v>au</v>
      </c>
      <c r="AG71" s="76"/>
      <c r="AH71" s="73" t="str">
        <f aca="false">IF(AND(V71&lt;S71,V71&lt;P71),"Equilibrado","Ver")</f>
        <v>Equilibrado</v>
      </c>
      <c r="AJ71" s="40" t="s">
        <v>153</v>
      </c>
      <c r="AK71" s="36" t="n">
        <v>2</v>
      </c>
      <c r="AL71" s="39" t="n">
        <f aca="false">VLOOKUP($I$16,tab_fator[],2,0)-VLOOKUP(AQ71,tab_fator[],2,0)</f>
        <v>2</v>
      </c>
      <c r="AM71" s="5" t="str">
        <f aca="false">IF(AN71+AT71=6,"Equilibrado","Ver")</f>
        <v>Equilibrado</v>
      </c>
      <c r="AN71" s="36" t="n">
        <f aca="false">IFERROR(_xlfn.RANK.EQ(AO71,AO67:AO71),"")</f>
        <v>3</v>
      </c>
      <c r="AO71" s="5" t="n">
        <f aca="false">AP71*(VLOOKUP(AQ71,tab_fator[],3,0))</f>
        <v>1.48E+078</v>
      </c>
      <c r="AP71" s="5" t="n">
        <f aca="false">'Transformação-Normal'!Q53</f>
        <v>1.48</v>
      </c>
      <c r="AQ71" s="3" t="str">
        <f aca="false">'Transformação-Normal'!R53</f>
        <v>av</v>
      </c>
      <c r="AR71" s="42" t="n">
        <f aca="false">AO71/SUM(AO67:AO71)</f>
        <v>0.124828571573161</v>
      </c>
      <c r="AS71" s="3"/>
      <c r="AT71" s="11" t="n">
        <f aca="false">IFERROR(_xlfn.RANK.EQ(AU71,$AU$67:$AU$71,1),"")</f>
        <v>3</v>
      </c>
      <c r="AU71" s="5" t="n">
        <f aca="false">AV71*(VLOOKUP(AW71,tab_fator[],3,0))</f>
        <v>1.28E+090</v>
      </c>
      <c r="AV71" s="5" t="n">
        <v>1.28</v>
      </c>
      <c r="AW71" s="37" t="s">
        <v>75</v>
      </c>
    </row>
    <row r="72" customFormat="false" ht="12.75" hidden="false" customHeight="true" outlineLevel="0" collapsed="false">
      <c r="X72" s="5"/>
      <c r="AG72" s="5"/>
      <c r="AJ72" s="335" t="s">
        <v>61</v>
      </c>
      <c r="AK72" s="305" t="str">
        <f aca="false">CONCATENATE(SUM(AK67:AK71)," / ",6*5)</f>
        <v>15 / 30</v>
      </c>
      <c r="AL72" s="305"/>
      <c r="AM72" s="305"/>
      <c r="AN72" s="336"/>
      <c r="AO72" s="336"/>
      <c r="AP72" s="336" t="str">
        <f aca="false">IFERROR(IF(AS67/AS69&lt;10,(TEXT(AS67/AS69,"#,##")),IF(AS67/AS69&lt;100,TEXT(AS67/AS69,"##,#"),TEXT(AS67/AS69,"###"))),"")</f>
        <v>11,9</v>
      </c>
      <c r="AQ72" s="336" t="str">
        <f aca="false">IFERROR(AS68,"")</f>
        <v>av</v>
      </c>
      <c r="AR72" s="337"/>
      <c r="AS72" s="336"/>
      <c r="AT72" s="338" t="str">
        <f aca="false">IFERROR(IF((AP72*VLOOKUP(AQ72,tab_fator[],3,0))&gt;(_xlfn.XLOOKUP(1,AT67:AT71,AV67:AV71,"",0,1)*VLOOKUP((_xlfn.XLOOKUP(1,AT67:AT71,AW67:AW71,"",0,1)),tab_fator[],3,0)),"Pronto","Esperar"),"")</f>
        <v>Esperar</v>
      </c>
      <c r="AU72" s="338"/>
      <c r="AV72" s="338"/>
      <c r="AW72" s="338"/>
    </row>
    <row r="73" customFormat="false" ht="12.75" hidden="false" customHeight="true" outlineLevel="0" collapsed="false">
      <c r="X73" s="5"/>
      <c r="AG73" s="5"/>
    </row>
    <row r="74" customFormat="false" ht="12.75" hidden="false" customHeight="true" outlineLevel="0" collapsed="false">
      <c r="X74" s="5"/>
      <c r="AG74" s="5"/>
      <c r="AJ74" s="339" t="s">
        <v>154</v>
      </c>
      <c r="AK74" s="339"/>
      <c r="AL74" s="339"/>
      <c r="AM74" s="339"/>
      <c r="AN74" s="339"/>
      <c r="AO74" s="339"/>
      <c r="AP74" s="339"/>
      <c r="AQ74" s="339"/>
      <c r="AR74" s="339"/>
      <c r="AS74" s="339"/>
      <c r="AT74" s="339"/>
      <c r="AU74" s="339"/>
      <c r="AV74" s="339"/>
      <c r="AW74" s="339"/>
    </row>
    <row r="75" customFormat="false" ht="12.75" hidden="false" customHeight="true" outlineLevel="0" collapsed="false">
      <c r="M75" s="339" t="s">
        <v>154</v>
      </c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39"/>
      <c r="AB75" s="339"/>
      <c r="AC75" s="339"/>
      <c r="AD75" s="339"/>
      <c r="AE75" s="339"/>
      <c r="AF75" s="339"/>
      <c r="AG75" s="339"/>
      <c r="AH75" s="339"/>
      <c r="AJ75" s="340" t="s">
        <v>12</v>
      </c>
      <c r="AK75" s="341" t="s">
        <v>69</v>
      </c>
      <c r="AL75" s="342" t="s">
        <v>14</v>
      </c>
      <c r="AM75" s="343" t="s">
        <v>15</v>
      </c>
      <c r="AN75" s="344" t="s">
        <v>16</v>
      </c>
      <c r="AO75" s="344"/>
      <c r="AP75" s="344"/>
      <c r="AQ75" s="344"/>
      <c r="AR75" s="344"/>
      <c r="AS75" s="345"/>
      <c r="AT75" s="346" t="s">
        <v>17</v>
      </c>
      <c r="AU75" s="346"/>
      <c r="AV75" s="346"/>
      <c r="AW75" s="346"/>
    </row>
    <row r="76" customFormat="false" ht="12.75" hidden="false" customHeight="true" outlineLevel="0" collapsed="false">
      <c r="M76" s="347" t="s">
        <v>12</v>
      </c>
      <c r="N76" s="347" t="s">
        <v>20</v>
      </c>
      <c r="O76" s="347"/>
      <c r="P76" s="348" t="s">
        <v>21</v>
      </c>
      <c r="Q76" s="347" t="s">
        <v>22</v>
      </c>
      <c r="R76" s="347"/>
      <c r="S76" s="348" t="s">
        <v>23</v>
      </c>
      <c r="T76" s="347" t="s">
        <v>24</v>
      </c>
      <c r="U76" s="347"/>
      <c r="V76" s="349" t="s">
        <v>25</v>
      </c>
      <c r="W76" s="350" t="s">
        <v>26</v>
      </c>
      <c r="X76" s="351"/>
      <c r="Y76" s="349" t="s">
        <v>2</v>
      </c>
      <c r="Z76" s="349" t="s">
        <v>27</v>
      </c>
      <c r="AA76" s="349" t="s">
        <v>28</v>
      </c>
      <c r="AB76" s="349" t="s">
        <v>29</v>
      </c>
      <c r="AC76" s="349" t="s">
        <v>30</v>
      </c>
      <c r="AD76" s="349" t="s">
        <v>31</v>
      </c>
      <c r="AE76" s="351" t="s">
        <v>32</v>
      </c>
      <c r="AF76" s="351"/>
      <c r="AG76" s="351"/>
      <c r="AH76" s="349" t="s">
        <v>15</v>
      </c>
      <c r="AJ76" s="340"/>
      <c r="AK76" s="352" t="s">
        <v>9</v>
      </c>
      <c r="AL76" s="342"/>
      <c r="AM76" s="343"/>
      <c r="AN76" s="353" t="s">
        <v>26</v>
      </c>
      <c r="AO76" s="353"/>
      <c r="AP76" s="353" t="s">
        <v>2</v>
      </c>
      <c r="AQ76" s="353" t="s">
        <v>33</v>
      </c>
      <c r="AR76" s="354" t="s">
        <v>34</v>
      </c>
      <c r="AS76" s="353"/>
      <c r="AT76" s="353" t="s">
        <v>26</v>
      </c>
      <c r="AU76" s="353" t="s">
        <v>35</v>
      </c>
      <c r="AV76" s="353" t="s">
        <v>2</v>
      </c>
      <c r="AW76" s="346" t="s">
        <v>33</v>
      </c>
    </row>
    <row r="77" customFormat="false" ht="12.75" hidden="false" customHeight="true" outlineLevel="0" collapsed="false">
      <c r="M77" s="263" t="s">
        <v>155</v>
      </c>
      <c r="N77" s="36" t="n">
        <v>101</v>
      </c>
      <c r="O77" s="37" t="s">
        <v>92</v>
      </c>
      <c r="P77" s="4" t="n">
        <f aca="false">N77*(VLOOKUP(O77,tab_fator[],3,0))</f>
        <v>1.01E+065</v>
      </c>
      <c r="Q77" s="36" t="n">
        <v>92.9</v>
      </c>
      <c r="R77" s="37" t="s">
        <v>92</v>
      </c>
      <c r="S77" s="4" t="n">
        <f aca="false">Q77*(VLOOKUP(R77,tab_fator[],3,0))</f>
        <v>9.29E+064</v>
      </c>
      <c r="T77" s="36" t="n">
        <v>62.3</v>
      </c>
      <c r="U77" s="37" t="s">
        <v>92</v>
      </c>
      <c r="V77" s="167" t="n">
        <f aca="false">T77*(VLOOKUP(U77,tab_fator[],3,0))</f>
        <v>6.23E+064</v>
      </c>
      <c r="W77" s="39" t="n">
        <f aca="false">_xlfn.RANK.EQ(V77,$V77:$V81)</f>
        <v>3</v>
      </c>
      <c r="X77" s="39"/>
      <c r="Y77" s="37" t="n">
        <f aca="false">MIN(V77,S77,P77)</f>
        <v>6.23E+064</v>
      </c>
      <c r="Z77" s="37" t="n">
        <f aca="false">MATCH(Y77,M77:V77,0)</f>
        <v>10</v>
      </c>
      <c r="AA77" s="37" t="n">
        <v>12</v>
      </c>
      <c r="AB77" s="37" t="n">
        <v>2</v>
      </c>
      <c r="AC77" s="37" t="n">
        <f aca="false">Z77+AA77-AB77</f>
        <v>20</v>
      </c>
      <c r="AD77" s="37" t="n">
        <f aca="false">ROW(X77)</f>
        <v>77</v>
      </c>
      <c r="AE77" s="355" t="n">
        <f aca="true" t="array" ref="AE77:AE77">INDIRECT(ADDRESS(AD77,AC77,1,1))</f>
        <v>62.3</v>
      </c>
      <c r="AF77" s="37" t="str">
        <f aca="true" t="array" ref="AF77:AF77">INDIRECT(ADDRESS(AD77,AC77+1,1,1))</f>
        <v>aq</v>
      </c>
      <c r="AG77" s="39"/>
      <c r="AH77" s="37" t="str">
        <f aca="false">IF(AND(V77&lt;S77,V77&lt;P77),"Equilibrado","Ver")</f>
        <v>Equilibrado</v>
      </c>
      <c r="AJ77" s="40" t="s">
        <v>155</v>
      </c>
      <c r="AK77" s="36" t="n">
        <v>3</v>
      </c>
      <c r="AL77" s="39" t="n">
        <f aca="false">VLOOKUP($I$17,tab_fator[],2,0)-VLOOKUP(AQ77,tab_fator[],2,0)</f>
        <v>3</v>
      </c>
      <c r="AM77" s="5" t="str">
        <f aca="false">IF(AN77+AT77=6,"Equilibrado","Ver")</f>
        <v>Equilibrado</v>
      </c>
      <c r="AN77" s="36" t="n">
        <f aca="false">IFERROR(_xlfn.RANK.EQ(AO77,AO77:AO81),"")</f>
        <v>3</v>
      </c>
      <c r="AO77" s="5" t="n">
        <f aca="false">AP77*(VLOOKUP(AQ77,tab_fator[],3,0))</f>
        <v>3.68E+065</v>
      </c>
      <c r="AP77" s="5" t="n">
        <f aca="false">'Transformação-Normal'!Q56</f>
        <v>368</v>
      </c>
      <c r="AQ77" s="3" t="str">
        <f aca="false">'Transformação-Normal'!R56</f>
        <v>aq</v>
      </c>
      <c r="AR77" s="42" t="n">
        <f aca="false">AO77/SUM(AO77:AO81)</f>
        <v>0.0996566179576893</v>
      </c>
      <c r="AS77" s="43" t="n">
        <f aca="false">(AP77*VLOOKUP(AQ77,tab_fator[],3,0))+
(AP78*VLOOKUP(AQ78,tab_fator[],3,0))+
(AP79*VLOOKUP(AQ79,tab_fator[],3,0))+
(AP80*VLOOKUP(AQ80,tab_fator[],3,0))+
(AP81*VLOOKUP(AQ81,tab_fator[],3,0))</f>
        <v>3.69268E+066</v>
      </c>
      <c r="AT77" s="11" t="n">
        <f aca="false">IFERROR(_xlfn.RANK.EQ(AU77,$AU$77:$AU$81,1),"")</f>
        <v>3</v>
      </c>
      <c r="AU77" s="5" t="n">
        <f aca="false">AV77*(VLOOKUP(AW77,tab_fator[],3,0))</f>
        <v>1.39E+078</v>
      </c>
      <c r="AV77" s="5" t="n">
        <v>1.39</v>
      </c>
      <c r="AW77" s="37" t="s">
        <v>101</v>
      </c>
    </row>
    <row r="78" customFormat="false" ht="12.75" hidden="false" customHeight="true" outlineLevel="0" collapsed="false">
      <c r="M78" s="356" t="s">
        <v>156</v>
      </c>
      <c r="N78" s="357" t="n">
        <v>13.1</v>
      </c>
      <c r="O78" s="358" t="s">
        <v>92</v>
      </c>
      <c r="P78" s="359" t="n">
        <f aca="false">N78*(VLOOKUP(O78,tab_fator[],3,0))</f>
        <v>1.31E+064</v>
      </c>
      <c r="Q78" s="357" t="n">
        <v>13.1</v>
      </c>
      <c r="R78" s="358" t="s">
        <v>92</v>
      </c>
      <c r="S78" s="360" t="n">
        <f aca="false">Q78*(VLOOKUP(R78,tab_fator[],3,0))</f>
        <v>1.31E+064</v>
      </c>
      <c r="T78" s="357" t="n">
        <v>12.6</v>
      </c>
      <c r="U78" s="358" t="s">
        <v>92</v>
      </c>
      <c r="V78" s="361" t="n">
        <f aca="false">T78*(VLOOKUP(U78,tab_fator[],3,0))</f>
        <v>1.26E+064</v>
      </c>
      <c r="W78" s="356" t="n">
        <f aca="false">_xlfn.RANK.EQ(V78,$V77:$V81)</f>
        <v>4</v>
      </c>
      <c r="X78" s="362"/>
      <c r="Y78" s="358" t="n">
        <f aca="false">MIN(V78,S78,P78)</f>
        <v>1.26E+064</v>
      </c>
      <c r="Z78" s="358" t="n">
        <f aca="false">MATCH(Y78,M78:V78,0)</f>
        <v>10</v>
      </c>
      <c r="AA78" s="358" t="n">
        <v>12</v>
      </c>
      <c r="AB78" s="358" t="n">
        <v>2</v>
      </c>
      <c r="AC78" s="358" t="n">
        <f aca="false">Z78+AA78-AB78</f>
        <v>20</v>
      </c>
      <c r="AD78" s="358" t="n">
        <f aca="false">ROW(X78)</f>
        <v>78</v>
      </c>
      <c r="AE78" s="356" t="n">
        <f aca="true" t="array" ref="AE78:AE78">INDIRECT(ADDRESS(AD78,AC78,1,1))</f>
        <v>12.6</v>
      </c>
      <c r="AF78" s="358" t="str">
        <f aca="true" t="array" ref="AF78:AF78">INDIRECT(ADDRESS(AD78,AC78+1,1,1))</f>
        <v>aq</v>
      </c>
      <c r="AG78" s="356"/>
      <c r="AH78" s="358" t="str">
        <f aca="false">IF(AND(V78&lt;S78,V78&lt;P78),"Equilibrado","Ver")</f>
        <v>Equilibrado</v>
      </c>
      <c r="AJ78" s="360" t="s">
        <v>156</v>
      </c>
      <c r="AK78" s="363" t="n">
        <v>2</v>
      </c>
      <c r="AL78" s="362" t="n">
        <f aca="false">VLOOKUP($I$17,tab_fator[],2,0)-VLOOKUP(AQ78,tab_fator[],2,0)</f>
        <v>3</v>
      </c>
      <c r="AM78" s="364" t="str">
        <f aca="false">IF(AN78+AT78=6,"Equilibrado","Ver")</f>
        <v>Equilibrado</v>
      </c>
      <c r="AN78" s="363" t="n">
        <f aca="false">IFERROR(_xlfn.RANK.EQ(AO78,AO77:AO81),"")</f>
        <v>4</v>
      </c>
      <c r="AO78" s="364" t="n">
        <f aca="false">AP78*(VLOOKUP(AQ78,tab_fator[],3,0))</f>
        <v>7.43E+064</v>
      </c>
      <c r="AP78" s="364" t="n">
        <f aca="false">'Transformação-Normal'!Q57</f>
        <v>74.3</v>
      </c>
      <c r="AQ78" s="365" t="str">
        <f aca="false">'Transformação-Normal'!R57</f>
        <v>aq</v>
      </c>
      <c r="AR78" s="366" t="n">
        <f aca="false">AO78/SUM(AO77:AO81)</f>
        <v>0.0201208878104791</v>
      </c>
      <c r="AS78" s="365" t="str">
        <f aca="false">_xlfn.XLOOKUP((LEN(TEXT(AS77,0))),tab_fator[Dgts],tab_fator[Fator],"errro",-1,1)</f>
        <v>ar</v>
      </c>
      <c r="AT78" s="367" t="n">
        <f aca="false">IFERROR(_xlfn.RANK.EQ(AU78,$AU$77:$AU$81,1),"")</f>
        <v>2</v>
      </c>
      <c r="AU78" s="364" t="n">
        <f aca="false">AV78*(VLOOKUP(AW78,tab_fator[],3,0))</f>
        <v>6.58E+075</v>
      </c>
      <c r="AV78" s="364" t="n">
        <v>6.58</v>
      </c>
      <c r="AW78" s="358" t="s">
        <v>98</v>
      </c>
    </row>
    <row r="79" customFormat="false" ht="12.75" hidden="false" customHeight="true" outlineLevel="0" collapsed="false">
      <c r="M79" s="263" t="s">
        <v>157</v>
      </c>
      <c r="N79" s="36" t="n">
        <v>561</v>
      </c>
      <c r="O79" s="37" t="s">
        <v>92</v>
      </c>
      <c r="P79" s="4" t="n">
        <f aca="false">N79*(VLOOKUP(O79,tab_fator[],3,0))</f>
        <v>5.61E+065</v>
      </c>
      <c r="Q79" s="36" t="n">
        <v>549</v>
      </c>
      <c r="R79" s="37" t="s">
        <v>92</v>
      </c>
      <c r="S79" s="4" t="n">
        <f aca="false">Q79*(VLOOKUP(R79,tab_fator[],3,0))</f>
        <v>5.49E+065</v>
      </c>
      <c r="T79" s="36" t="n">
        <v>440</v>
      </c>
      <c r="U79" s="37" t="s">
        <v>92</v>
      </c>
      <c r="V79" s="167" t="n">
        <f aca="false">T79*(VLOOKUP(U79,tab_fator[],3,0))</f>
        <v>4.4E+065</v>
      </c>
      <c r="W79" s="39" t="n">
        <f aca="false">_xlfn.RANK.EQ(V79,$V77:$V81)</f>
        <v>1</v>
      </c>
      <c r="X79" s="39"/>
      <c r="Y79" s="37" t="n">
        <f aca="false">MIN(V79,S79,P79)</f>
        <v>4.4E+065</v>
      </c>
      <c r="Z79" s="37" t="n">
        <f aca="false">MATCH(Y79,M79:V79,0)</f>
        <v>10</v>
      </c>
      <c r="AA79" s="37" t="n">
        <v>12</v>
      </c>
      <c r="AB79" s="37" t="n">
        <v>2</v>
      </c>
      <c r="AC79" s="37" t="n">
        <f aca="false">Z79+AA79-AB79</f>
        <v>20</v>
      </c>
      <c r="AD79" s="37" t="n">
        <f aca="false">ROW(X79)</f>
        <v>79</v>
      </c>
      <c r="AE79" s="39" t="n">
        <f aca="true" t="array" ref="AE79:AE79">INDIRECT(ADDRESS(AD79,AC79,1,1))</f>
        <v>440</v>
      </c>
      <c r="AF79" s="37" t="str">
        <f aca="true" t="array" ref="AF79:AF79">INDIRECT(ADDRESS(AD79,AC79+1,1,1))</f>
        <v>aq</v>
      </c>
      <c r="AG79" s="39"/>
      <c r="AH79" s="37" t="str">
        <f aca="false">IF(AND(V79&lt;S79,V79&lt;P79),"Equilibrado","Ver")</f>
        <v>Equilibrado</v>
      </c>
      <c r="AJ79" s="40" t="s">
        <v>157</v>
      </c>
      <c r="AK79" s="36" t="n">
        <v>2</v>
      </c>
      <c r="AL79" s="39" t="n">
        <f aca="false">VLOOKUP($I$17,tab_fator[],2,0)-VLOOKUP(AQ79,tab_fator[],2,0)</f>
        <v>2</v>
      </c>
      <c r="AM79" s="5" t="str">
        <f aca="false">IF(AN79+AT79=6,"Equilibrado","Ver")</f>
        <v>Equilibrado</v>
      </c>
      <c r="AN79" s="36" t="n">
        <f aca="false">IFERROR(_xlfn.RANK.EQ(AO79,AO77:AO81),"")</f>
        <v>1</v>
      </c>
      <c r="AO79" s="5" t="n">
        <f aca="false">AP79*(VLOOKUP(AQ79,tab_fator[],3,0))</f>
        <v>2.6E+066</v>
      </c>
      <c r="AP79" s="5" t="n">
        <f aca="false">'Transformação-Normal'!Q58</f>
        <v>2.6</v>
      </c>
      <c r="AQ79" s="3" t="str">
        <f aca="false">'Transformação-Normal'!R58</f>
        <v>ar</v>
      </c>
      <c r="AR79" s="42" t="n">
        <f aca="false">AO79/SUM(AO77:AO81)</f>
        <v>0.704095670353239</v>
      </c>
      <c r="AS79" s="5" t="n">
        <f aca="false">VLOOKUP(AS78,tab_fator[],3,0)</f>
        <v>1E+066</v>
      </c>
      <c r="AT79" s="11" t="n">
        <f aca="false">IFERROR(_xlfn.RANK.EQ(AU79,$AU$77:$AU$81,1),"")</f>
        <v>5</v>
      </c>
      <c r="AU79" s="5" t="n">
        <f aca="false">AV79*(VLOOKUP(AW79,tab_fator[],3,0))</f>
        <v>1.89E+082</v>
      </c>
      <c r="AV79" s="5" t="n">
        <v>18.9</v>
      </c>
      <c r="AW79" s="37" t="s">
        <v>103</v>
      </c>
    </row>
    <row r="80" customFormat="false" ht="12.75" hidden="false" customHeight="true" outlineLevel="0" collapsed="false">
      <c r="M80" s="356" t="s">
        <v>158</v>
      </c>
      <c r="N80" s="357" t="n">
        <v>1.38</v>
      </c>
      <c r="O80" s="358" t="s">
        <v>92</v>
      </c>
      <c r="P80" s="359" t="n">
        <f aca="false">N80*(VLOOKUP(O80,tab_fator[],3,0))</f>
        <v>1.38E+063</v>
      </c>
      <c r="Q80" s="357" t="n">
        <v>1.37</v>
      </c>
      <c r="R80" s="358" t="s">
        <v>92</v>
      </c>
      <c r="S80" s="360" t="n">
        <f aca="false">Q80*(VLOOKUP(R80,tab_fator[],3,0))</f>
        <v>1.37E+063</v>
      </c>
      <c r="T80" s="357" t="n">
        <v>1.25</v>
      </c>
      <c r="U80" s="358" t="s">
        <v>92</v>
      </c>
      <c r="V80" s="361" t="n">
        <f aca="false">T80*(VLOOKUP(U80,tab_fator[],3,0))</f>
        <v>1.25E+063</v>
      </c>
      <c r="W80" s="356" t="n">
        <f aca="false">_xlfn.RANK.EQ(V80,$V77:$V81)</f>
        <v>5</v>
      </c>
      <c r="X80" s="362"/>
      <c r="Y80" s="358" t="n">
        <f aca="false">MIN(V80,S80,P80)</f>
        <v>1.25E+063</v>
      </c>
      <c r="Z80" s="358" t="n">
        <f aca="false">MATCH(Y80,M80:V80,0)</f>
        <v>10</v>
      </c>
      <c r="AA80" s="358" t="n">
        <v>12</v>
      </c>
      <c r="AB80" s="358" t="n">
        <v>2</v>
      </c>
      <c r="AC80" s="358" t="n">
        <f aca="false">Z80+AA80-AB80</f>
        <v>20</v>
      </c>
      <c r="AD80" s="358" t="n">
        <f aca="false">ROW(X80)</f>
        <v>80</v>
      </c>
      <c r="AE80" s="356" t="n">
        <f aca="true" t="array" ref="AE80:AE80">INDIRECT(ADDRESS(AD80,AC80,1,1))</f>
        <v>1.25</v>
      </c>
      <c r="AF80" s="358" t="str">
        <f aca="true" t="array" ref="AF80:AF80">INDIRECT(ADDRESS(AD80,AC80+1,1,1))</f>
        <v>aq</v>
      </c>
      <c r="AG80" s="356"/>
      <c r="AH80" s="358" t="str">
        <f aca="false">IF(AND(V80&lt;S80,V80&lt;P80),"Equilibrado","Ver")</f>
        <v>Equilibrado</v>
      </c>
      <c r="AJ80" s="360" t="s">
        <v>158</v>
      </c>
      <c r="AK80" s="363" t="n">
        <v>1</v>
      </c>
      <c r="AL80" s="362" t="n">
        <f aca="false">VLOOKUP($I$17,tab_fator[],2,0)-VLOOKUP(AQ80,tab_fator[],2,0)</f>
        <v>3</v>
      </c>
      <c r="AM80" s="364" t="str">
        <f aca="false">IF(AN80+AT80=6,"Equilibrado","Ver")</f>
        <v>Equilibrado</v>
      </c>
      <c r="AN80" s="363" t="n">
        <f aca="false">IFERROR(_xlfn.RANK.EQ(AO80,AO77:AO81),"")</f>
        <v>5</v>
      </c>
      <c r="AO80" s="364" t="n">
        <f aca="false">AP80*(VLOOKUP(AQ80,tab_fator[],3,0))</f>
        <v>7.38E+063</v>
      </c>
      <c r="AP80" s="364" t="n">
        <f aca="false">'Transformação-Normal'!Q59</f>
        <v>7.38</v>
      </c>
      <c r="AQ80" s="365" t="str">
        <f aca="false">'Transformação-Normal'!R59</f>
        <v>aq</v>
      </c>
      <c r="AR80" s="366" t="n">
        <f aca="false">AO80/SUM(AO77:AO81)</f>
        <v>0.00199854847969496</v>
      </c>
      <c r="AS80" s="365"/>
      <c r="AT80" s="367" t="n">
        <f aca="false">IFERROR(_xlfn.RANK.EQ(AU80,$AU$77:$AU$81,1),"")</f>
        <v>1</v>
      </c>
      <c r="AU80" s="364" t="n">
        <f aca="false">AV80*(VLOOKUP(AW80,tab_fator[],3,0))</f>
        <v>4.16E+073</v>
      </c>
      <c r="AV80" s="364" t="n">
        <v>41.6</v>
      </c>
      <c r="AW80" s="358" t="s">
        <v>53</v>
      </c>
    </row>
    <row r="81" customFormat="false" ht="12.75" hidden="false" customHeight="true" outlineLevel="0" collapsed="false">
      <c r="M81" s="368" t="s">
        <v>159</v>
      </c>
      <c r="N81" s="72" t="n">
        <v>123</v>
      </c>
      <c r="O81" s="73" t="s">
        <v>92</v>
      </c>
      <c r="P81" s="184" t="n">
        <f aca="false">N81*(VLOOKUP(O81,tab_fator[],3,0))</f>
        <v>1.23E+065</v>
      </c>
      <c r="Q81" s="72" t="n">
        <v>122</v>
      </c>
      <c r="R81" s="73" t="s">
        <v>92</v>
      </c>
      <c r="S81" s="184" t="n">
        <f aca="false">Q81*(VLOOKUP(R81,tab_fator[],3,0))</f>
        <v>1.22E+065</v>
      </c>
      <c r="T81" s="72" t="n">
        <v>109</v>
      </c>
      <c r="U81" s="73" t="s">
        <v>92</v>
      </c>
      <c r="V81" s="185" t="n">
        <f aca="false">T81*(VLOOKUP(U81,tab_fator[],3,0))</f>
        <v>1.09E+065</v>
      </c>
      <c r="W81" s="76" t="n">
        <f aca="false">_xlfn.RANK.EQ(V81,$V77:$V81)</f>
        <v>2</v>
      </c>
      <c r="X81" s="76"/>
      <c r="Y81" s="73" t="n">
        <f aca="false">MIN(V81,S81,P81)</f>
        <v>1.09E+065</v>
      </c>
      <c r="Z81" s="73" t="n">
        <f aca="false">MATCH(Y81,M81:V81,0)</f>
        <v>10</v>
      </c>
      <c r="AA81" s="73" t="n">
        <v>12</v>
      </c>
      <c r="AB81" s="73" t="n">
        <v>2</v>
      </c>
      <c r="AC81" s="73" t="n">
        <f aca="false">Z81+AA81-AB81</f>
        <v>20</v>
      </c>
      <c r="AD81" s="73" t="n">
        <f aca="false">ROW(X81)</f>
        <v>81</v>
      </c>
      <c r="AE81" s="368" t="n">
        <f aca="true" t="array" ref="AE81:AE81">INDIRECT(ADDRESS(AD81,AC81,1,1))</f>
        <v>109</v>
      </c>
      <c r="AF81" s="73" t="str">
        <f aca="true" t="array" ref="AF81:AF81">INDIRECT(ADDRESS(AD81,AC81+1,1,1))</f>
        <v>aq</v>
      </c>
      <c r="AG81" s="76"/>
      <c r="AH81" s="73" t="str">
        <f aca="false">IF(AND(V81&lt;S81,V81&lt;P81),"Equilibrado","Ver")</f>
        <v>Equilibrado</v>
      </c>
      <c r="AJ81" s="40" t="s">
        <v>159</v>
      </c>
      <c r="AK81" s="36" t="n">
        <v>1</v>
      </c>
      <c r="AL81" s="39" t="n">
        <f aca="false">VLOOKUP($I$17,tab_fator[],2,0)-VLOOKUP(AQ81,tab_fator[],2,0)</f>
        <v>3</v>
      </c>
      <c r="AM81" s="5" t="str">
        <f aca="false">IF(AN81+AT81=6,"Equilibrado","Ver")</f>
        <v>Equilibrado</v>
      </c>
      <c r="AN81" s="36" t="n">
        <f aca="false">IFERROR(_xlfn.RANK.EQ(AO81,AO77:AO81),"")</f>
        <v>2</v>
      </c>
      <c r="AO81" s="5" t="n">
        <f aca="false">AP81*(VLOOKUP(AQ81,tab_fator[],3,0))</f>
        <v>6.43E+065</v>
      </c>
      <c r="AP81" s="5" t="n">
        <f aca="false">'Transformação-Normal'!Q60</f>
        <v>643</v>
      </c>
      <c r="AQ81" s="3" t="str">
        <f aca="false">'Transformação-Normal'!R60</f>
        <v>aq</v>
      </c>
      <c r="AR81" s="42" t="n">
        <f aca="false">AO81/SUM(AO77:AO81)</f>
        <v>0.174128275398897</v>
      </c>
      <c r="AS81" s="3"/>
      <c r="AT81" s="11" t="n">
        <f aca="false">IFERROR(_xlfn.RANK.EQ(AU81,$AU$77:$AU$81,1),"")</f>
        <v>4</v>
      </c>
      <c r="AU81" s="5" t="n">
        <f aca="false">AV81*(VLOOKUP(AW81,tab_fator[],3,0))</f>
        <v>4.08E+080</v>
      </c>
      <c r="AV81" s="5" t="n">
        <v>408</v>
      </c>
      <c r="AW81" s="37" t="s">
        <v>101</v>
      </c>
    </row>
    <row r="82" customFormat="false" ht="12.75" hidden="false" customHeight="true" outlineLevel="0" collapsed="false">
      <c r="AJ82" s="369" t="s">
        <v>61</v>
      </c>
      <c r="AK82" s="339" t="str">
        <f aca="false">CONCATENATE(SUM(AK77:AK81)," / ",6*5)</f>
        <v>9 / 30</v>
      </c>
      <c r="AL82" s="339"/>
      <c r="AM82" s="339"/>
      <c r="AN82" s="370"/>
      <c r="AO82" s="370"/>
      <c r="AP82" s="370" t="str">
        <f aca="false">IFERROR(IF(AS77/AS79&lt;10,(TEXT(AS77/AS79,"#,##")),IF(AS77/AS79&lt;100,TEXT(AS77/AS79,"##,#"),TEXT(AS77/AS79,"###"))),"")</f>
        <v>3,69</v>
      </c>
      <c r="AQ82" s="370" t="str">
        <f aca="false">IFERROR(AS78,"")</f>
        <v>ar</v>
      </c>
      <c r="AR82" s="371"/>
      <c r="AS82" s="370"/>
      <c r="AT82" s="372" t="str">
        <f aca="false">IFERROR(IF((AP82*VLOOKUP(AQ82,tab_fator[],3,0))&gt;(_xlfn.XLOOKUP(1,AT77:AT81,AV77:AV81,"",0,1)*VLOOKUP((_xlfn.XLOOKUP(1,AT77:AT81,AW77:AW81,"",0,1)),tab_fator[],3,0)),"Pronto","Esperar"),"")</f>
        <v>Esperar</v>
      </c>
      <c r="AU82" s="372"/>
      <c r="AV82" s="372"/>
      <c r="AW82" s="372"/>
    </row>
  </sheetData>
  <mergeCells count="123">
    <mergeCell ref="M1:AW2"/>
    <mergeCell ref="AJ4:AW4"/>
    <mergeCell ref="M5:AH5"/>
    <mergeCell ref="AJ5:AJ6"/>
    <mergeCell ref="AK5:AK6"/>
    <mergeCell ref="AL5:AL6"/>
    <mergeCell ref="AM5:AM6"/>
    <mergeCell ref="AN5:AR5"/>
    <mergeCell ref="AT5:AW5"/>
    <mergeCell ref="N6:O6"/>
    <mergeCell ref="Q6:R6"/>
    <mergeCell ref="T6:U6"/>
    <mergeCell ref="AE6:AF6"/>
    <mergeCell ref="F8:K8"/>
    <mergeCell ref="H9:I9"/>
    <mergeCell ref="AK12:AM12"/>
    <mergeCell ref="AT12:AW12"/>
    <mergeCell ref="AJ14:AW14"/>
    <mergeCell ref="M15:AH15"/>
    <mergeCell ref="AJ15:AJ16"/>
    <mergeCell ref="AL15:AL16"/>
    <mergeCell ref="AM15:AM16"/>
    <mergeCell ref="AN15:AR15"/>
    <mergeCell ref="AT15:AW15"/>
    <mergeCell ref="N16:O16"/>
    <mergeCell ref="Q16:R16"/>
    <mergeCell ref="T16:U16"/>
    <mergeCell ref="AE16:AF16"/>
    <mergeCell ref="H22:J22"/>
    <mergeCell ref="AK22:AM22"/>
    <mergeCell ref="AT22:AW22"/>
    <mergeCell ref="H23:J23"/>
    <mergeCell ref="H24:J24"/>
    <mergeCell ref="AJ24:AW24"/>
    <mergeCell ref="H25:J25"/>
    <mergeCell ref="M25:AH25"/>
    <mergeCell ref="AJ25:AJ26"/>
    <mergeCell ref="AL25:AL26"/>
    <mergeCell ref="AM25:AM26"/>
    <mergeCell ref="AN25:AR25"/>
    <mergeCell ref="AT25:AW25"/>
    <mergeCell ref="H26:J26"/>
    <mergeCell ref="N26:O26"/>
    <mergeCell ref="Q26:R26"/>
    <mergeCell ref="T26:U26"/>
    <mergeCell ref="AE26:AF26"/>
    <mergeCell ref="H27:J27"/>
    <mergeCell ref="H28:J28"/>
    <mergeCell ref="H29:J29"/>
    <mergeCell ref="H30:J30"/>
    <mergeCell ref="H31:J31"/>
    <mergeCell ref="H32:J32"/>
    <mergeCell ref="AK32:AM32"/>
    <mergeCell ref="AT32:AW32"/>
    <mergeCell ref="H33:J33"/>
    <mergeCell ref="H34:J34"/>
    <mergeCell ref="AJ34:AW34"/>
    <mergeCell ref="H35:J35"/>
    <mergeCell ref="M35:AH35"/>
    <mergeCell ref="AJ35:AJ36"/>
    <mergeCell ref="AL35:AL36"/>
    <mergeCell ref="AM35:AM36"/>
    <mergeCell ref="AN35:AR35"/>
    <mergeCell ref="AT35:AW35"/>
    <mergeCell ref="H36:J36"/>
    <mergeCell ref="N36:O36"/>
    <mergeCell ref="Q36:R36"/>
    <mergeCell ref="T36:U36"/>
    <mergeCell ref="AE36:AF36"/>
    <mergeCell ref="AK42:AM42"/>
    <mergeCell ref="AT42:AW42"/>
    <mergeCell ref="AJ44:AW44"/>
    <mergeCell ref="M45:AH45"/>
    <mergeCell ref="AJ45:AJ46"/>
    <mergeCell ref="AL45:AL46"/>
    <mergeCell ref="AM45:AM46"/>
    <mergeCell ref="AN45:AR45"/>
    <mergeCell ref="AT45:AW45"/>
    <mergeCell ref="N46:O46"/>
    <mergeCell ref="Q46:R46"/>
    <mergeCell ref="T46:U46"/>
    <mergeCell ref="AE46:AF46"/>
    <mergeCell ref="AK52:AM52"/>
    <mergeCell ref="AT52:AW52"/>
    <mergeCell ref="AJ54:AW54"/>
    <mergeCell ref="M55:AH55"/>
    <mergeCell ref="AJ55:AJ56"/>
    <mergeCell ref="AL55:AL56"/>
    <mergeCell ref="AM55:AM56"/>
    <mergeCell ref="AN55:AR55"/>
    <mergeCell ref="AT55:AW55"/>
    <mergeCell ref="N56:O56"/>
    <mergeCell ref="Q56:R56"/>
    <mergeCell ref="T56:U56"/>
    <mergeCell ref="AE56:AF56"/>
    <mergeCell ref="AK62:AM62"/>
    <mergeCell ref="AT62:AW62"/>
    <mergeCell ref="AJ64:AW64"/>
    <mergeCell ref="M65:AH65"/>
    <mergeCell ref="AJ65:AJ66"/>
    <mergeCell ref="AL65:AL66"/>
    <mergeCell ref="AM65:AM66"/>
    <mergeCell ref="AN65:AR65"/>
    <mergeCell ref="AT65:AW65"/>
    <mergeCell ref="N66:O66"/>
    <mergeCell ref="Q66:R66"/>
    <mergeCell ref="T66:U66"/>
    <mergeCell ref="AE66:AF66"/>
    <mergeCell ref="AK72:AM72"/>
    <mergeCell ref="AT72:AW72"/>
    <mergeCell ref="AJ74:AW74"/>
    <mergeCell ref="M75:AH75"/>
    <mergeCell ref="AJ75:AJ76"/>
    <mergeCell ref="AL75:AL76"/>
    <mergeCell ref="AM75:AM76"/>
    <mergeCell ref="AN75:AR75"/>
    <mergeCell ref="AT75:AW75"/>
    <mergeCell ref="N76:O76"/>
    <mergeCell ref="Q76:R76"/>
    <mergeCell ref="T76:U76"/>
    <mergeCell ref="AE76:AF76"/>
    <mergeCell ref="AK82:AM82"/>
    <mergeCell ref="AT82:AW82"/>
  </mergeCells>
  <conditionalFormatting sqref="G4:I4 E4 F9:H9 J9:K9">
    <cfRule type="dataBar" priority="2">
      <dataBar showValue="1" minLength="10" maxLength="90">
        <cfvo type="num" val="0"/>
        <cfvo type="num" val="0"/>
        <color rgb="FF0045D0"/>
      </dataBar>
      <extLst>
        <ext xmlns:x14="http://schemas.microsoft.com/office/spreadsheetml/2009/9/main" uri="{B025F937-C7B1-47D3-B67F-A62EFF666E3E}">
          <x14:id>{6ED033C6-646B-4AFB-AEA6-7796FDF854D1}</x14:id>
        </ext>
      </extLst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D033C6-646B-4AFB-AEA6-7796FDF854D1}">
            <x14:dataBar minLength="10" maxLength="90" axisPosition="automatic" gradient="false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G4:I4 E4 F9:H9 J9:K9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1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N3" activeCellId="0" sqref="N3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.71"/>
    <col collapsed="false" customWidth="true" hidden="false" outlineLevel="0" max="3" min="3" style="2" width="10"/>
    <col collapsed="false" customWidth="true" hidden="false" outlineLevel="0" max="4" min="4" style="1" width="7.57"/>
    <col collapsed="false" customWidth="true" hidden="false" outlineLevel="0" max="5" min="5" style="1" width="1.57"/>
    <col collapsed="false" customWidth="true" hidden="false" outlineLevel="0" max="6" min="6" style="4" width="13.15"/>
    <col collapsed="false" customWidth="true" hidden="false" outlineLevel="0" max="9" min="9" style="373" width="10.57"/>
    <col collapsed="false" customWidth="true" hidden="false" outlineLevel="0" max="11" min="10" style="5" width="10.57"/>
    <col collapsed="false" customWidth="true" hidden="false" outlineLevel="0" max="12" min="12" style="5" width="13.29"/>
    <col collapsed="false" customWidth="true" hidden="false" outlineLevel="0" max="13" min="13" style="5" width="15.14"/>
    <col collapsed="false" customWidth="true" hidden="false" outlineLevel="0" max="14" min="14" style="5" width="10.57"/>
    <col collapsed="false" customWidth="true" hidden="false" outlineLevel="0" max="15" min="15" style="5" width="12.71"/>
    <col collapsed="false" customWidth="true" hidden="false" outlineLevel="0" max="17" min="17" style="4" width="13.42"/>
    <col collapsed="false" customWidth="true" hidden="false" outlineLevel="0" max="18" min="18" style="5" width="10.57"/>
  </cols>
  <sheetData>
    <row r="1" customFormat="false" ht="12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</row>
    <row r="2" customFormat="false" ht="12.75" hidden="false" customHeight="true" outlineLevel="0" collapsed="false">
      <c r="A2" s="1" t="s">
        <v>5</v>
      </c>
      <c r="B2" s="1" t="n">
        <v>1</v>
      </c>
      <c r="C2" s="2" t="n">
        <v>1</v>
      </c>
      <c r="D2" s="8" t="n">
        <f aca="false">LEN(TEXT(C2,0))</f>
        <v>1</v>
      </c>
      <c r="F2" s="9" t="s">
        <v>0</v>
      </c>
      <c r="G2" s="9" t="n">
        <f aca="false">'Idle-Normal'!G2/10</f>
        <v>5.9</v>
      </c>
    </row>
    <row r="3" customFormat="false" ht="12.75" hidden="false" customHeight="true" outlineLevel="0" collapsed="false">
      <c r="A3" s="1" t="s">
        <v>7</v>
      </c>
      <c r="B3" s="1" t="n">
        <f aca="false">B2+1</f>
        <v>2</v>
      </c>
      <c r="C3" s="2" t="n">
        <f aca="false">C2*1000</f>
        <v>1000</v>
      </c>
      <c r="D3" s="8" t="n">
        <f aca="false">LEN(TEXT(C3,0))</f>
        <v>4</v>
      </c>
      <c r="E3" s="3"/>
    </row>
    <row r="4" customFormat="false" ht="12.75" hidden="false" customHeight="true" outlineLevel="0" collapsed="false">
      <c r="A4" s="1" t="s">
        <v>8</v>
      </c>
      <c r="B4" s="1" t="n">
        <f aca="false">B3+1</f>
        <v>3</v>
      </c>
      <c r="C4" s="2" t="n">
        <f aca="false">C3*1000</f>
        <v>1000000</v>
      </c>
      <c r="D4" s="8" t="n">
        <f aca="false">LEN(TEXT(C4,0))</f>
        <v>7</v>
      </c>
      <c r="E4" s="16"/>
    </row>
    <row r="5" customFormat="false" ht="12.75" hidden="false" customHeight="true" outlineLevel="0" collapsed="false">
      <c r="A5" s="1" t="s">
        <v>11</v>
      </c>
      <c r="B5" s="1" t="n">
        <f aca="false">B4+1</f>
        <v>4</v>
      </c>
      <c r="C5" s="2" t="n">
        <f aca="false">C4*1000</f>
        <v>1000000000</v>
      </c>
      <c r="D5" s="8" t="n">
        <f aca="false">LEN(TEXT(C5,0))</f>
        <v>10</v>
      </c>
      <c r="E5" s="16"/>
    </row>
    <row r="6" customFormat="false" ht="12.75" hidden="false" customHeight="true" outlineLevel="0" collapsed="false">
      <c r="A6" s="1" t="s">
        <v>18</v>
      </c>
      <c r="B6" s="1" t="n">
        <f aca="false">B5+1</f>
        <v>5</v>
      </c>
      <c r="C6" s="2" t="n">
        <f aca="false">C5*1000</f>
        <v>1000000000000</v>
      </c>
      <c r="D6" s="8" t="n">
        <f aca="false">LEN(TEXT(C6,0))</f>
        <v>13</v>
      </c>
      <c r="E6" s="8"/>
      <c r="F6" s="374" t="s">
        <v>12</v>
      </c>
      <c r="G6" s="375" t="s">
        <v>160</v>
      </c>
      <c r="H6" s="375"/>
      <c r="I6" s="376" t="s">
        <v>161</v>
      </c>
      <c r="J6" s="377" t="s">
        <v>162</v>
      </c>
      <c r="K6" s="377" t="s">
        <v>163</v>
      </c>
      <c r="L6" s="377" t="s">
        <v>15</v>
      </c>
      <c r="M6" s="377" t="s">
        <v>164</v>
      </c>
      <c r="N6" s="377" t="s">
        <v>165</v>
      </c>
      <c r="O6" s="377" t="s">
        <v>166</v>
      </c>
      <c r="P6" s="378" t="s">
        <v>167</v>
      </c>
      <c r="Q6" s="379" t="s">
        <v>168</v>
      </c>
      <c r="R6" s="380" t="s">
        <v>169</v>
      </c>
    </row>
    <row r="7" customFormat="false" ht="12.75" hidden="false" customHeight="false" outlineLevel="0" collapsed="false">
      <c r="A7" s="1" t="s">
        <v>36</v>
      </c>
      <c r="B7" s="1" t="n">
        <f aca="false">B6+1</f>
        <v>6</v>
      </c>
      <c r="C7" s="2" t="n">
        <f aca="false">C6*1000</f>
        <v>1000000000000000</v>
      </c>
      <c r="D7" s="8" t="n">
        <f aca="false">LEN(TEXT(C7,0))</f>
        <v>16</v>
      </c>
      <c r="E7" s="8"/>
      <c r="F7" s="35" t="s">
        <v>37</v>
      </c>
      <c r="G7" s="36" t="n">
        <f aca="false">'Idle-Normal'!AE7</f>
        <v>403</v>
      </c>
      <c r="H7" s="37" t="str">
        <f aca="false">'Idle-Normal'!AF7</f>
        <v>bb</v>
      </c>
      <c r="I7" s="381" t="n">
        <f aca="false">G7*(VLOOKUP(H7,tab_fatorTestes[],3,0))</f>
        <v>4.03E+098</v>
      </c>
      <c r="J7" s="5" t="n">
        <f aca="false">LEN(TEXT(I7,0))</f>
        <v>99</v>
      </c>
      <c r="K7" s="5" t="str">
        <f aca="false" t="array" ref="K7:K7">_xlfn.XLOOKUP(J7,tab_fatorTestes[[#All],[Dgts]],tab_fatorTestes[[#All],[Fator]],"Erro",-1,1)</f>
        <v>bb</v>
      </c>
      <c r="L7" s="5" t="b">
        <f aca="false">K7=H7</f>
        <v>1</v>
      </c>
      <c r="M7" s="382" t="n">
        <f aca="false">I7*$G$2</f>
        <v>2.3777E+099</v>
      </c>
      <c r="N7" s="5" t="n">
        <f aca="false">LEN(TEXT(M7,0))</f>
        <v>100</v>
      </c>
      <c r="O7" s="37" t="n">
        <f aca="false">VLOOKUP(R7,tab_fatorTestes[],3,0)</f>
        <v>1E+099</v>
      </c>
      <c r="P7" s="36" t="n">
        <f aca="false">M7/O7</f>
        <v>2.3777</v>
      </c>
      <c r="Q7" s="36" t="n">
        <f aca="false">ROUND(P7,(IF(P7&lt;10,2,IF(P7&lt;100,1,IF(P7&gt;100,0)))))</f>
        <v>2.38</v>
      </c>
      <c r="R7" s="37" t="str">
        <f aca="false" t="array" ref="R7:R7">_xlfn.XLOOKUP(N7,tab_fatorTestes[[#All],[Dgts]],tab_fatorTestes[[#All],[Fator]],"Erro",-1,1)</f>
        <v>bc</v>
      </c>
    </row>
    <row r="8" customFormat="false" ht="12.75" hidden="false" customHeight="true" outlineLevel="0" collapsed="false">
      <c r="A8" s="1" t="s">
        <v>41</v>
      </c>
      <c r="B8" s="1" t="n">
        <f aca="false">B7+1</f>
        <v>7</v>
      </c>
      <c r="C8" s="2" t="n">
        <f aca="false">C7*1000</f>
        <v>1E+018</v>
      </c>
      <c r="D8" s="8" t="n">
        <f aca="false">LEN(TEXT(C8,0))</f>
        <v>19</v>
      </c>
      <c r="E8" s="8"/>
      <c r="F8" s="46" t="s">
        <v>42</v>
      </c>
      <c r="G8" s="46" t="n">
        <f aca="false">'Idle-Normal'!AE8</f>
        <v>344</v>
      </c>
      <c r="H8" s="47" t="str">
        <f aca="false">'Idle-Normal'!AF8</f>
        <v>bb</v>
      </c>
      <c r="I8" s="383" t="n">
        <f aca="false">G8*(VLOOKUP(H8,tab_fatorTestes[],3,0))</f>
        <v>3.44E+098</v>
      </c>
      <c r="J8" s="50" t="n">
        <f aca="false">LEN(TEXT(I8,0))</f>
        <v>99</v>
      </c>
      <c r="K8" s="50" t="str">
        <f aca="false" t="array" ref="K8:K8">_xlfn.XLOOKUP(J8,tab_fatorTestes[[#All],[Dgts]],tab_fatorTestes[[#All],[Fator]],"Erro",-1,1)</f>
        <v>bb</v>
      </c>
      <c r="L8" s="50" t="b">
        <f aca="false">K8=H8</f>
        <v>1</v>
      </c>
      <c r="M8" s="384" t="n">
        <f aca="false">I8*$G$2</f>
        <v>2.0296E+099</v>
      </c>
      <c r="N8" s="50" t="n">
        <f aca="false">LEN(TEXT(M8,0))</f>
        <v>100</v>
      </c>
      <c r="O8" s="385" t="n">
        <f aca="false">VLOOKUP(R8,tab_fatorTestes[],3,0)</f>
        <v>1E+099</v>
      </c>
      <c r="P8" s="53" t="n">
        <f aca="false">M8/O8</f>
        <v>2.0296</v>
      </c>
      <c r="Q8" s="46" t="n">
        <f aca="false">ROUND(P8,(IF(P8&lt;10,2,IF(P8&lt;100,1,IF(P8&gt;100,0)))))</f>
        <v>2.03</v>
      </c>
      <c r="R8" s="385" t="str">
        <f aca="false" t="array" ref="R8:R8">_xlfn.XLOOKUP(N8,tab_fatorTestes[[#All],[Dgts]],tab_fatorTestes[[#All],[Fator]],"Erro",-1,1)</f>
        <v>bc</v>
      </c>
    </row>
    <row r="9" customFormat="false" ht="12.75" hidden="false" customHeight="true" outlineLevel="0" collapsed="false">
      <c r="A9" s="1" t="s">
        <v>43</v>
      </c>
      <c r="B9" s="1" t="n">
        <f aca="false">B8+1</f>
        <v>8</v>
      </c>
      <c r="C9" s="2" t="n">
        <f aca="false">C8*1000</f>
        <v>1E+021</v>
      </c>
      <c r="D9" s="8" t="n">
        <f aca="false">LEN(TEXT(C9,0))</f>
        <v>22</v>
      </c>
      <c r="E9" s="8"/>
      <c r="F9" s="35" t="s">
        <v>48</v>
      </c>
      <c r="G9" s="36" t="n">
        <f aca="false">'Idle-Normal'!AE9</f>
        <v>1.16</v>
      </c>
      <c r="H9" s="37" t="str">
        <f aca="false">'Idle-Normal'!AF9</f>
        <v>bc</v>
      </c>
      <c r="I9" s="381" t="n">
        <f aca="false">G9*(VLOOKUP(H9,tab_fatorTestes[],3,0))</f>
        <v>1.16E+099</v>
      </c>
      <c r="J9" s="5" t="n">
        <f aca="false">LEN(TEXT(I9,0))</f>
        <v>100</v>
      </c>
      <c r="K9" s="5" t="str">
        <f aca="false" t="array" ref="K9:K9">_xlfn.XLOOKUP(J9,tab_fatorTestes[[#All],[Dgts]],tab_fatorTestes[[#All],[Fator]],"Erro",-1,1)</f>
        <v>bc</v>
      </c>
      <c r="L9" s="5" t="b">
        <f aca="false">K9=H9</f>
        <v>1</v>
      </c>
      <c r="M9" s="382" t="n">
        <f aca="false">I9*$G$2</f>
        <v>6.844E+099</v>
      </c>
      <c r="N9" s="5" t="n">
        <f aca="false">LEN(TEXT(M9,0))</f>
        <v>100</v>
      </c>
      <c r="O9" s="37" t="n">
        <f aca="false">VLOOKUP(R9,tab_fatorTestes[],3,0)</f>
        <v>1E+099</v>
      </c>
      <c r="P9" s="386" t="n">
        <f aca="false">M9/O9</f>
        <v>6.844</v>
      </c>
      <c r="Q9" s="36" t="n">
        <f aca="false">ROUND(P9,(IF(P9&lt;10,2,IF(P9&lt;100,1,IF(P9&gt;100,0)))))</f>
        <v>6.84</v>
      </c>
      <c r="R9" s="37" t="str">
        <f aca="false" t="array" ref="R9:R9">_xlfn.XLOOKUP(N9,tab_fatorTestes[[#All],[Dgts]],tab_fatorTestes[[#All],[Fator]],"Erro",-1,1)</f>
        <v>bc</v>
      </c>
    </row>
    <row r="10" customFormat="false" ht="12.75" hidden="false" customHeight="true" outlineLevel="0" collapsed="false">
      <c r="A10" s="1" t="s">
        <v>50</v>
      </c>
      <c r="B10" s="1" t="n">
        <f aca="false">B9+1</f>
        <v>9</v>
      </c>
      <c r="C10" s="2" t="n">
        <f aca="false">C9*1000</f>
        <v>1E+024</v>
      </c>
      <c r="D10" s="8" t="n">
        <f aca="false">LEN(TEXT(C10,0))</f>
        <v>25</v>
      </c>
      <c r="E10" s="8"/>
      <c r="F10" s="46" t="s">
        <v>52</v>
      </c>
      <c r="G10" s="46" t="n">
        <f aca="false">'Idle-Normal'!AE10</f>
        <v>42.9</v>
      </c>
      <c r="H10" s="47" t="str">
        <f aca="false">'Idle-Normal'!AF10</f>
        <v>at</v>
      </c>
      <c r="I10" s="383" t="n">
        <f aca="false">G10*(VLOOKUP(H10,tab_fatorTestes[],3,0))</f>
        <v>4.29E+073</v>
      </c>
      <c r="J10" s="50" t="n">
        <f aca="false">LEN(TEXT(I10,0))</f>
        <v>74</v>
      </c>
      <c r="K10" s="50" t="str">
        <f aca="false" t="array" ref="K10:K10">_xlfn.XLOOKUP(J10,tab_fatorTestes[[#All],[Dgts]],tab_fatorTestes[[#All],[Fator]],"Erro",-1,1)</f>
        <v>at</v>
      </c>
      <c r="L10" s="50" t="b">
        <f aca="false">K10=H10</f>
        <v>1</v>
      </c>
      <c r="M10" s="384" t="n">
        <f aca="false">I10*$G$2</f>
        <v>2.5311E+074</v>
      </c>
      <c r="N10" s="50" t="n">
        <f aca="false">LEN(TEXT(M10,0))</f>
        <v>75</v>
      </c>
      <c r="O10" s="385" t="n">
        <f aca="false">VLOOKUP(R10,tab_fatorTestes[],3,0)</f>
        <v>1E+072</v>
      </c>
      <c r="P10" s="53" t="n">
        <f aca="false">M10/O10</f>
        <v>253.11</v>
      </c>
      <c r="Q10" s="46" t="n">
        <f aca="false">ROUND(P10,(IF(P10&lt;10,2,IF(P10&lt;100,1,IF(P10&gt;100,0)))))</f>
        <v>253</v>
      </c>
      <c r="R10" s="385" t="str">
        <f aca="false" t="array" ref="R10:R10">_xlfn.XLOOKUP(N10,tab_fatorTestes[[#All],[Dgts]],tab_fatorTestes[[#All],[Fator]],"Erro",-1,1)</f>
        <v>at</v>
      </c>
    </row>
    <row r="11" customFormat="false" ht="12.75" hidden="false" customHeight="true" outlineLevel="0" collapsed="false">
      <c r="A11" s="1" t="s">
        <v>54</v>
      </c>
      <c r="B11" s="1" t="n">
        <f aca="false">B10+1</f>
        <v>10</v>
      </c>
      <c r="C11" s="2" t="n">
        <f aca="false">C10*1000</f>
        <v>1E+027</v>
      </c>
      <c r="D11" s="8" t="n">
        <f aca="false">LEN(TEXT(C11,0))</f>
        <v>28</v>
      </c>
      <c r="E11" s="8"/>
      <c r="F11" s="71" t="s">
        <v>56</v>
      </c>
      <c r="G11" s="72" t="n">
        <f aca="false">'Idle-Normal'!AE11</f>
        <v>14.5</v>
      </c>
      <c r="H11" s="73" t="str">
        <f aca="false">'Idle-Normal'!AF11</f>
        <v>bb</v>
      </c>
      <c r="I11" s="387" t="n">
        <f aca="false">G11*(VLOOKUP(H11,tab_fatorTestes[],3,0))</f>
        <v>1.45E+097</v>
      </c>
      <c r="J11" s="74" t="n">
        <f aca="false">LEN(TEXT(I11,0))</f>
        <v>98</v>
      </c>
      <c r="K11" s="74" t="str">
        <f aca="false" t="array" ref="K11:K11">_xlfn.XLOOKUP(J11,tab_fatorTestes[[#All],[Dgts]],tab_fatorTestes[[#All],[Fator]],"Erro",-1,1)</f>
        <v>bb</v>
      </c>
      <c r="L11" s="74" t="b">
        <f aca="false">K11=H11</f>
        <v>1</v>
      </c>
      <c r="M11" s="388" t="n">
        <f aca="false">I11*$G$2</f>
        <v>8.555E+097</v>
      </c>
      <c r="N11" s="74" t="n">
        <f aca="false">LEN(TEXT(M11,0))</f>
        <v>98</v>
      </c>
      <c r="O11" s="73" t="n">
        <f aca="false">VLOOKUP(R11,tab_fatorTestes[],3,0)</f>
        <v>1E+096</v>
      </c>
      <c r="P11" s="72" t="n">
        <f aca="false">M11/O11</f>
        <v>85.55</v>
      </c>
      <c r="Q11" s="72" t="n">
        <f aca="false">ROUND(P11,(IF(P11&lt;10,2,IF(P11&lt;100,1,IF(P11&gt;100,0)))))</f>
        <v>85.6</v>
      </c>
      <c r="R11" s="73" t="str">
        <f aca="false" t="array" ref="R11:R11">_xlfn.XLOOKUP(N11,tab_fatorTestes[[#All],[Dgts]],tab_fatorTestes[[#All],[Fator]],"Erro",-1,1)</f>
        <v>bb</v>
      </c>
    </row>
    <row r="12" customFormat="false" ht="12.75" hidden="false" customHeight="true" outlineLevel="0" collapsed="false">
      <c r="A12" s="1" t="s">
        <v>58</v>
      </c>
      <c r="B12" s="1" t="n">
        <f aca="false">B11+1</f>
        <v>11</v>
      </c>
      <c r="C12" s="2" t="n">
        <f aca="false">C11*1000</f>
        <v>1E+030</v>
      </c>
      <c r="D12" s="8" t="n">
        <f aca="false">LEN(TEXT(C12,0))</f>
        <v>31</v>
      </c>
      <c r="E12" s="8"/>
      <c r="F12" s="4" t="s">
        <v>61</v>
      </c>
      <c r="M12" s="44" t="n">
        <f aca="false">SUM(M7:M11)</f>
        <v>1.133685E+100</v>
      </c>
      <c r="N12" s="5" t="n">
        <f aca="false">LEN(TEXT(M12,0))</f>
        <v>101</v>
      </c>
      <c r="O12" s="5" t="n">
        <f aca="false">VLOOKUP(R12,tab_fatorTestes[],3,0)</f>
        <v>1E+099</v>
      </c>
      <c r="P12" s="5" t="n">
        <f aca="false">M12/O12</f>
        <v>11.33685</v>
      </c>
      <c r="Q12" s="5" t="n">
        <f aca="false">ROUND(P12,(IF(P12&lt;10,2,IF(P12&lt;100,1,IF(P12&gt;100,0)))))</f>
        <v>11.3</v>
      </c>
      <c r="R12" s="5" t="str">
        <f aca="false" t="array" ref="R12:R12">_xlfn.XLOOKUP(N12,tab_fatorTestes[[#All],[Dgts]],tab_fatorTestes[[#All],[Fator]],"Erro",-1,1)</f>
        <v>bc</v>
      </c>
    </row>
    <row r="13" customFormat="false" ht="12.75" hidden="false" customHeight="true" outlineLevel="0" collapsed="false">
      <c r="A13" s="1" t="s">
        <v>62</v>
      </c>
      <c r="B13" s="1" t="n">
        <f aca="false">B12+1</f>
        <v>12</v>
      </c>
      <c r="C13" s="2" t="n">
        <f aca="false">C12*1000</f>
        <v>1E+033</v>
      </c>
      <c r="D13" s="8" t="n">
        <f aca="false">LEN(TEXT(C13,0))</f>
        <v>34</v>
      </c>
      <c r="E13" s="8"/>
    </row>
    <row r="14" customFormat="false" ht="12.75" hidden="false" customHeight="true" outlineLevel="0" collapsed="false">
      <c r="A14" s="1" t="s">
        <v>64</v>
      </c>
      <c r="B14" s="1" t="n">
        <f aca="false">B13+1</f>
        <v>13</v>
      </c>
      <c r="C14" s="2" t="n">
        <f aca="false">C13*1000</f>
        <v>1E+036</v>
      </c>
      <c r="D14" s="8" t="n">
        <f aca="false">LEN(TEXT(C14,0))</f>
        <v>37</v>
      </c>
      <c r="E14" s="8"/>
      <c r="F14" s="389" t="s">
        <v>74</v>
      </c>
      <c r="G14" s="389" t="n">
        <f aca="false">'Idle-Normal'!AE17</f>
        <v>46</v>
      </c>
      <c r="H14" s="390" t="str">
        <f aca="false">'Idle-Normal'!AF17</f>
        <v>az</v>
      </c>
      <c r="I14" s="391" t="n">
        <f aca="false">G14*(VLOOKUP(H14,tab_fatorTestes[],3,0))</f>
        <v>4.6E+091</v>
      </c>
      <c r="J14" s="392" t="n">
        <f aca="false">LEN(TEXT(I14,0))</f>
        <v>92</v>
      </c>
      <c r="K14" s="392" t="str">
        <f aca="false" t="array" ref="K14:K14">_xlfn.XLOOKUP(J14,tab_fatorTestes[[#All],[Dgts]],tab_fatorTestes[[#All],[Fator]],"Erro",-1,1)</f>
        <v>az</v>
      </c>
      <c r="L14" s="392" t="b">
        <f aca="false">K14=H14</f>
        <v>1</v>
      </c>
      <c r="M14" s="393" t="n">
        <f aca="false">I14*$G$2</f>
        <v>2.714E+092</v>
      </c>
      <c r="N14" s="392" t="n">
        <f aca="false">LEN(TEXT(M14,0))</f>
        <v>93</v>
      </c>
      <c r="O14" s="390" t="n">
        <f aca="false">VLOOKUP(R14,tab_fatorTestes[],3,0)</f>
        <v>1E+090</v>
      </c>
      <c r="P14" s="389" t="n">
        <f aca="false">M14/O14</f>
        <v>271.4</v>
      </c>
      <c r="Q14" s="389" t="n">
        <f aca="false">ROUND(P14,(IF(P14&lt;10,2,IF(P14&lt;100,1,IF(P14&gt;100,0)))))</f>
        <v>271</v>
      </c>
      <c r="R14" s="390" t="str">
        <f aca="false" t="array" ref="R14:R14">_xlfn.XLOOKUP(N14,tab_fatorTestes[[#All],[Dgts]],tab_fatorTestes[[#All],[Fator]],"Erro",-1,1)</f>
        <v>az</v>
      </c>
    </row>
    <row r="15" customFormat="false" ht="12.75" hidden="false" customHeight="true" outlineLevel="0" collapsed="false">
      <c r="A15" s="1" t="s">
        <v>67</v>
      </c>
      <c r="B15" s="1" t="n">
        <f aca="false">B14+1</f>
        <v>14</v>
      </c>
      <c r="C15" s="2" t="n">
        <f aca="false">C14*1000</f>
        <v>1E+039</v>
      </c>
      <c r="D15" s="8" t="n">
        <f aca="false">LEN(TEXT(C15,0))</f>
        <v>40</v>
      </c>
      <c r="E15" s="8"/>
      <c r="F15" s="129" t="s">
        <v>78</v>
      </c>
      <c r="G15" s="129" t="n">
        <f aca="false">'Idle-Normal'!AE18</f>
        <v>1.08</v>
      </c>
      <c r="H15" s="130" t="str">
        <f aca="false">'Idle-Normal'!AF18</f>
        <v>ba</v>
      </c>
      <c r="I15" s="394" t="n">
        <f aca="false">G15*(VLOOKUP(H15,tab_fatorTestes[],3,0))</f>
        <v>1.08E+093</v>
      </c>
      <c r="J15" s="136" t="n">
        <f aca="false">LEN(TEXT(I15,0))</f>
        <v>94</v>
      </c>
      <c r="K15" s="136" t="str">
        <f aca="false" t="array" ref="K15:K15">_xlfn.XLOOKUP(J15,tab_fatorTestes[[#All],[Dgts]],tab_fatorTestes[[#All],[Fator]],"Erro",-1,1)</f>
        <v>ba</v>
      </c>
      <c r="L15" s="136" t="b">
        <f aca="false">K15=H15</f>
        <v>1</v>
      </c>
      <c r="M15" s="395" t="n">
        <f aca="false">I15*$G$2</f>
        <v>6.372E+093</v>
      </c>
      <c r="N15" s="136" t="n">
        <f aca="false">LEN(TEXT(M15,0))</f>
        <v>94</v>
      </c>
      <c r="O15" s="133" t="n">
        <f aca="false">VLOOKUP(R15,tab_fatorTestes[],3,0)</f>
        <v>1E+093</v>
      </c>
      <c r="P15" s="129" t="n">
        <f aca="false">M15/O15</f>
        <v>6.372</v>
      </c>
      <c r="Q15" s="129" t="n">
        <f aca="false">ROUND(P15,(IF(P15&lt;10,2,IF(P15&lt;100,1,IF(P15&gt;100,0)))))</f>
        <v>6.37</v>
      </c>
      <c r="R15" s="133" t="str">
        <f aca="false" t="array" ref="R15:R15">_xlfn.XLOOKUP(N15,tab_fatorTestes[[#All],[Dgts]],tab_fatorTestes[[#All],[Fator]],"Erro",-1,1)</f>
        <v>ba</v>
      </c>
    </row>
    <row r="16" customFormat="false" ht="12.75" hidden="false" customHeight="true" outlineLevel="0" collapsed="false">
      <c r="A16" s="1" t="s">
        <v>70</v>
      </c>
      <c r="B16" s="1" t="n">
        <f aca="false">B15+1</f>
        <v>15</v>
      </c>
      <c r="C16" s="2" t="n">
        <f aca="false">C15*1000</f>
        <v>1E+042</v>
      </c>
      <c r="D16" s="8" t="n">
        <f aca="false">LEN(TEXT(C16,0))</f>
        <v>43</v>
      </c>
      <c r="E16" s="8"/>
      <c r="F16" s="36" t="s">
        <v>82</v>
      </c>
      <c r="G16" s="36" t="n">
        <f aca="false">'Idle-Normal'!AE19</f>
        <v>2.39</v>
      </c>
      <c r="H16" s="37" t="str">
        <f aca="false">'Idle-Normal'!AF19</f>
        <v>ba</v>
      </c>
      <c r="I16" s="381" t="n">
        <f aca="false">G16*(VLOOKUP(H16,tab_fatorTestes[],3,0))</f>
        <v>2.39E+093</v>
      </c>
      <c r="J16" s="5" t="n">
        <f aca="false">LEN(TEXT(I16,0))</f>
        <v>94</v>
      </c>
      <c r="K16" s="5" t="str">
        <f aca="false" t="array" ref="K16:K16">_xlfn.XLOOKUP(J16,tab_fatorTestes[[#All],[Dgts]],tab_fatorTestes[[#All],[Fator]],"Erro",-1,1)</f>
        <v>ba</v>
      </c>
      <c r="L16" s="5" t="b">
        <f aca="false">K16=H16</f>
        <v>1</v>
      </c>
      <c r="M16" s="382" t="n">
        <f aca="false">I16*$G$2</f>
        <v>1.4101E+094</v>
      </c>
      <c r="N16" s="5" t="n">
        <f aca="false">LEN(TEXT(M16,0))</f>
        <v>95</v>
      </c>
      <c r="O16" s="37" t="n">
        <f aca="false">VLOOKUP(R16,tab_fatorTestes[],3,0)</f>
        <v>1E+093</v>
      </c>
      <c r="P16" s="36" t="n">
        <f aca="false">M16/O16</f>
        <v>14.101</v>
      </c>
      <c r="Q16" s="36" t="n">
        <f aca="false">ROUND(P16,(IF(P16&lt;10,2,IF(P16&lt;100,1,IF(P16&gt;100,0)))))</f>
        <v>14.1</v>
      </c>
      <c r="R16" s="37" t="str">
        <f aca="false" t="array" ref="R16:R16">_xlfn.XLOOKUP(N16,tab_fatorTestes[[#All],[Dgts]],tab_fatorTestes[[#All],[Fator]],"Erro",-1,1)</f>
        <v>ba</v>
      </c>
    </row>
    <row r="17" customFormat="false" ht="12.75" hidden="false" customHeight="true" outlineLevel="0" collapsed="false">
      <c r="A17" s="1" t="s">
        <v>72</v>
      </c>
      <c r="B17" s="1" t="n">
        <f aca="false">B16+1</f>
        <v>16</v>
      </c>
      <c r="C17" s="2" t="n">
        <f aca="false">C16*1000</f>
        <v>1E+045</v>
      </c>
      <c r="D17" s="8" t="n">
        <f aca="false">LEN(TEXT(C17,0))</f>
        <v>46</v>
      </c>
      <c r="E17" s="8"/>
      <c r="F17" s="129" t="s">
        <v>85</v>
      </c>
      <c r="G17" s="129" t="n">
        <f aca="false">'Idle-Normal'!AE20</f>
        <v>8.89</v>
      </c>
      <c r="H17" s="130" t="str">
        <f aca="false">'Idle-Normal'!AF20</f>
        <v>ba</v>
      </c>
      <c r="I17" s="394" t="n">
        <f aca="false">G17*(VLOOKUP(H17,tab_fatorTestes[],3,0))</f>
        <v>8.89E+093</v>
      </c>
      <c r="J17" s="136" t="n">
        <f aca="false">LEN(TEXT(I17,0))</f>
        <v>94</v>
      </c>
      <c r="K17" s="136" t="str">
        <f aca="false" t="array" ref="K17:K17">_xlfn.XLOOKUP(J17,tab_fatorTestes[[#All],[Dgts]],tab_fatorTestes[[#All],[Fator]],"Erro",-1,1)</f>
        <v>ba</v>
      </c>
      <c r="L17" s="136" t="b">
        <f aca="false">K17=H17</f>
        <v>1</v>
      </c>
      <c r="M17" s="395" t="n">
        <f aca="false">I17*$G$2</f>
        <v>5.2451E+094</v>
      </c>
      <c r="N17" s="136" t="n">
        <f aca="false">LEN(TEXT(M17,0))</f>
        <v>95</v>
      </c>
      <c r="O17" s="133" t="n">
        <f aca="false">VLOOKUP(R17,tab_fatorTestes[],3,0)</f>
        <v>1E+093</v>
      </c>
      <c r="P17" s="129" t="n">
        <f aca="false">M17/O17</f>
        <v>52.451</v>
      </c>
      <c r="Q17" s="129" t="n">
        <f aca="false">ROUND(P17,(IF(P17&lt;10,2,IF(P17&lt;100,1,IF(P17&gt;100,0)))))</f>
        <v>52.5</v>
      </c>
      <c r="R17" s="133" t="str">
        <f aca="false" t="array" ref="R17:R17">_xlfn.XLOOKUP(N17,tab_fatorTestes[[#All],[Dgts]],tab_fatorTestes[[#All],[Fator]],"Erro",-1,1)</f>
        <v>ba</v>
      </c>
    </row>
    <row r="18" customFormat="false" ht="12.75" hidden="false" customHeight="true" outlineLevel="0" collapsed="false">
      <c r="A18" s="1" t="s">
        <v>77</v>
      </c>
      <c r="B18" s="1" t="n">
        <f aca="false">B17+1</f>
        <v>17</v>
      </c>
      <c r="C18" s="2" t="n">
        <f aca="false">C17*1000</f>
        <v>1E+048</v>
      </c>
      <c r="D18" s="8" t="n">
        <f aca="false">LEN(TEXT(C18,0))</f>
        <v>49</v>
      </c>
      <c r="E18" s="8"/>
      <c r="F18" s="72" t="s">
        <v>87</v>
      </c>
      <c r="G18" s="72" t="n">
        <f aca="false">'Idle-Normal'!AE21</f>
        <v>15.1</v>
      </c>
      <c r="H18" s="73" t="str">
        <f aca="false">'Idle-Normal'!AF21</f>
        <v>ba</v>
      </c>
      <c r="I18" s="387" t="n">
        <f aca="false">G18*(VLOOKUP(H18,tab_fatorTestes[],3,0))</f>
        <v>1.51E+094</v>
      </c>
      <c r="J18" s="74" t="n">
        <f aca="false">LEN(TEXT(I18,0))</f>
        <v>95</v>
      </c>
      <c r="K18" s="74" t="str">
        <f aca="false" t="array" ref="K18:K18">_xlfn.XLOOKUP(J18,tab_fatorTestes[[#All],[Dgts]],tab_fatorTestes[[#All],[Fator]],"Erro",-1,1)</f>
        <v>ba</v>
      </c>
      <c r="L18" s="74" t="b">
        <f aca="false">K18=H18</f>
        <v>1</v>
      </c>
      <c r="M18" s="388" t="n">
        <f aca="false">I18*$G$2</f>
        <v>8.909E+094</v>
      </c>
      <c r="N18" s="74" t="n">
        <f aca="false">LEN(TEXT(M18,0))</f>
        <v>95</v>
      </c>
      <c r="O18" s="73" t="n">
        <f aca="false">VLOOKUP(R18,tab_fatorTestes[],3,0)</f>
        <v>1E+093</v>
      </c>
      <c r="P18" s="72" t="n">
        <f aca="false">M18/O18</f>
        <v>89.09</v>
      </c>
      <c r="Q18" s="72" t="n">
        <f aca="false">ROUND(P18,(IF(P18&lt;10,2,IF(P18&lt;100,1,IF(P18&gt;100,0)))))</f>
        <v>89.1</v>
      </c>
      <c r="R18" s="73" t="str">
        <f aca="false" t="array" ref="R18:R18">_xlfn.XLOOKUP(N18,tab_fatorTestes[[#All],[Dgts]],tab_fatorTestes[[#All],[Fator]],"Erro",-1,1)</f>
        <v>ba</v>
      </c>
    </row>
    <row r="19" customFormat="false" ht="12.75" hidden="false" customHeight="true" outlineLevel="0" collapsed="false">
      <c r="A19" s="1" t="s">
        <v>80</v>
      </c>
      <c r="B19" s="1" t="n">
        <f aca="false">B18+1</f>
        <v>18</v>
      </c>
      <c r="C19" s="2" t="n">
        <f aca="false">C18*1000</f>
        <v>1E+051</v>
      </c>
      <c r="D19" s="8" t="n">
        <f aca="false">LEN(TEXT(C19,0))</f>
        <v>52</v>
      </c>
      <c r="E19" s="8"/>
      <c r="F19" s="4" t="s">
        <v>61</v>
      </c>
      <c r="M19" s="44" t="n">
        <f aca="false">SUM(M14:M18)</f>
        <v>1.622854E+095</v>
      </c>
      <c r="N19" s="5" t="n">
        <f aca="false">LEN(TEXT(M19,0))</f>
        <v>96</v>
      </c>
      <c r="O19" s="5" t="n">
        <f aca="false">VLOOKUP(R19,tab_fatorTestes[],3,0)</f>
        <v>1E+093</v>
      </c>
      <c r="P19" s="5" t="n">
        <f aca="false">M19/O19</f>
        <v>162.2854</v>
      </c>
      <c r="Q19" s="5" t="n">
        <f aca="false">ROUND(P19,(IF(P19&lt;10,2,IF(P19&lt;100,1,IF(P19&gt;100,0)))))</f>
        <v>162</v>
      </c>
      <c r="R19" s="5" t="str">
        <f aca="false" t="array" ref="R19:R19">_xlfn.XLOOKUP(N19,tab_fatorTestes[[#All],[Dgts]],tab_fatorTestes[[#All],[Fator]],"Erro",-1,1)</f>
        <v>ba</v>
      </c>
    </row>
    <row r="20" customFormat="false" ht="12.75" hidden="false" customHeight="true" outlineLevel="0" collapsed="false">
      <c r="A20" s="1" t="s">
        <v>83</v>
      </c>
      <c r="B20" s="1" t="n">
        <f aca="false">B19+1</f>
        <v>19</v>
      </c>
      <c r="C20" s="2" t="n">
        <f aca="false">C19*1000</f>
        <v>1E+054</v>
      </c>
      <c r="D20" s="8" t="n">
        <f aca="false">LEN(TEXT(C20,0))</f>
        <v>55</v>
      </c>
      <c r="E20" s="8"/>
    </row>
    <row r="21" customFormat="false" ht="12.75" hidden="false" customHeight="true" outlineLevel="0" collapsed="false">
      <c r="A21" s="1" t="s">
        <v>86</v>
      </c>
      <c r="B21" s="1" t="n">
        <f aca="false">B20+1</f>
        <v>20</v>
      </c>
      <c r="C21" s="2" t="n">
        <f aca="false">C20*1000</f>
        <v>1E+057</v>
      </c>
      <c r="D21" s="8" t="n">
        <f aca="false">LEN(TEXT(C21,0))</f>
        <v>58</v>
      </c>
      <c r="E21" s="8"/>
      <c r="F21" s="389" t="s">
        <v>99</v>
      </c>
      <c r="G21" s="389" t="n">
        <f aca="false">'Idle-Normal'!AE27</f>
        <v>401</v>
      </c>
      <c r="H21" s="390" t="str">
        <f aca="false">'Idle-Normal'!AF27</f>
        <v>ay</v>
      </c>
      <c r="I21" s="391" t="n">
        <f aca="false">G21*(VLOOKUP(H21,tab_fatorTestes[],3,0))</f>
        <v>4.01E+089</v>
      </c>
      <c r="J21" s="392" t="n">
        <f aca="false">LEN(TEXT(I21,0))</f>
        <v>90</v>
      </c>
      <c r="K21" s="392" t="str">
        <f aca="false" t="array" ref="K21:K21">_xlfn.XLOOKUP(J21,tab_fatorTestes[[#All],[Dgts]],tab_fatorTestes[[#All],[Fator]],"Erro",-1,1)</f>
        <v>ay</v>
      </c>
      <c r="L21" s="392" t="b">
        <f aca="false">K21=H21</f>
        <v>1</v>
      </c>
      <c r="M21" s="393" t="n">
        <f aca="false">I21*$G$2</f>
        <v>2.3659E+090</v>
      </c>
      <c r="N21" s="392" t="n">
        <f aca="false">LEN(TEXT(M21,0))</f>
        <v>91</v>
      </c>
      <c r="O21" s="390" t="n">
        <f aca="false">VLOOKUP(R21,tab_fatorTestes[],3,0)</f>
        <v>1E+090</v>
      </c>
      <c r="P21" s="389" t="n">
        <f aca="false">M21/O21</f>
        <v>2.3659</v>
      </c>
      <c r="Q21" s="389" t="n">
        <f aca="false">ROUND(P21,(IF(P21&lt;10,2,IF(P21&lt;100,1,IF(P21&gt;100,0)))))</f>
        <v>2.37</v>
      </c>
      <c r="R21" s="390" t="str">
        <f aca="false" t="array" ref="R21:R21">_xlfn.XLOOKUP(N21,tab_fatorTestes[[#All],[Dgts]],tab_fatorTestes[[#All],[Fator]],"Erro",-1,1)</f>
        <v>az</v>
      </c>
    </row>
    <row r="22" customFormat="false" ht="12.75" hidden="false" customHeight="true" outlineLevel="0" collapsed="false">
      <c r="A22" s="1" t="s">
        <v>88</v>
      </c>
      <c r="B22" s="1" t="n">
        <f aca="false">B21+1</f>
        <v>21</v>
      </c>
      <c r="C22" s="2" t="n">
        <f aca="false">C21*1000</f>
        <v>1E+060</v>
      </c>
      <c r="D22" s="8" t="n">
        <f aca="false">LEN(TEXT(C22,0))</f>
        <v>61</v>
      </c>
      <c r="E22" s="8"/>
      <c r="F22" s="168" t="s">
        <v>102</v>
      </c>
      <c r="G22" s="168" t="n">
        <f aca="false">'Idle-Normal'!AE28</f>
        <v>1.72</v>
      </c>
      <c r="H22" s="169" t="str">
        <f aca="false">'Idle-Normal'!AF28</f>
        <v>az</v>
      </c>
      <c r="I22" s="396" t="n">
        <f aca="false">G22*(VLOOKUP(H22,tab_fatorTestes[],3,0))</f>
        <v>1.72E+090</v>
      </c>
      <c r="J22" s="397" t="n">
        <f aca="false">LEN(TEXT(I22,0))</f>
        <v>91</v>
      </c>
      <c r="K22" s="397" t="str">
        <f aca="false" t="array" ref="K22:K22">_xlfn.XLOOKUP(J22,tab_fatorTestes[[#All],[Dgts]],tab_fatorTestes[[#All],[Fator]],"Erro",-1,1)</f>
        <v>az</v>
      </c>
      <c r="L22" s="397" t="b">
        <f aca="false">K22=H22</f>
        <v>1</v>
      </c>
      <c r="M22" s="398" t="n">
        <f aca="false">I22*$G$2</f>
        <v>1.0148E+091</v>
      </c>
      <c r="N22" s="397" t="n">
        <f aca="false">LEN(TEXT(M22,0))</f>
        <v>92</v>
      </c>
      <c r="O22" s="399" t="n">
        <f aca="false">VLOOKUP(R22,tab_fatorTestes[],3,0)</f>
        <v>1E+090</v>
      </c>
      <c r="P22" s="400" t="n">
        <f aca="false">M22/O22</f>
        <v>10.148</v>
      </c>
      <c r="Q22" s="168" t="n">
        <f aca="false">ROUND(P22,(IF(P22&lt;10,2,IF(P22&lt;100,1,IF(P22&gt;100,0)))))</f>
        <v>10.1</v>
      </c>
      <c r="R22" s="399" t="str">
        <f aca="false" t="array" ref="R22:R22">_xlfn.XLOOKUP(N22,tab_fatorTestes[[#All],[Dgts]],tab_fatorTestes[[#All],[Fator]],"Erro",-1,1)</f>
        <v>az</v>
      </c>
    </row>
    <row r="23" customFormat="false" ht="12.75" hidden="false" customHeight="true" outlineLevel="0" collapsed="false">
      <c r="A23" s="1" t="s">
        <v>92</v>
      </c>
      <c r="B23" s="1" t="n">
        <f aca="false">B22+1</f>
        <v>22</v>
      </c>
      <c r="C23" s="2" t="n">
        <f aca="false">C22*1000</f>
        <v>1E+063</v>
      </c>
      <c r="D23" s="8" t="n">
        <f aca="false">LEN(TEXT(C23,0))</f>
        <v>64</v>
      </c>
      <c r="E23" s="8"/>
      <c r="F23" s="35" t="s">
        <v>104</v>
      </c>
      <c r="G23" s="36" t="n">
        <f aca="false">'Idle-Normal'!AE29</f>
        <v>1.95</v>
      </c>
      <c r="H23" s="37" t="str">
        <f aca="false">'Idle-Normal'!AF29</f>
        <v>az</v>
      </c>
      <c r="I23" s="381" t="n">
        <f aca="false">G23*(VLOOKUP(H23,tab_fatorTestes[],3,0))</f>
        <v>1.95E+090</v>
      </c>
      <c r="J23" s="5" t="n">
        <f aca="false">LEN(TEXT(I23,0))</f>
        <v>91</v>
      </c>
      <c r="K23" s="5" t="str">
        <f aca="false" t="array" ref="K23:K23">_xlfn.XLOOKUP(J23,tab_fatorTestes[[#All],[Dgts]],tab_fatorTestes[[#All],[Fator]],"Erro",-1,1)</f>
        <v>az</v>
      </c>
      <c r="L23" s="5" t="b">
        <f aca="false">K23=H23</f>
        <v>1</v>
      </c>
      <c r="M23" s="382" t="n">
        <f aca="false">I23*$G$2</f>
        <v>1.1505E+091</v>
      </c>
      <c r="N23" s="5" t="n">
        <f aca="false">LEN(TEXT(M23,0))</f>
        <v>92</v>
      </c>
      <c r="O23" s="37" t="n">
        <f aca="false">VLOOKUP(R23,tab_fatorTestes[],3,0)</f>
        <v>1E+090</v>
      </c>
      <c r="P23" s="36" t="n">
        <f aca="false">M23/O23</f>
        <v>11.505</v>
      </c>
      <c r="Q23" s="36" t="n">
        <f aca="false">ROUND(P23,(IF(P23&lt;10,2,IF(P23&lt;100,1,IF(P23&gt;100,0)))))</f>
        <v>11.5</v>
      </c>
      <c r="R23" s="37" t="str">
        <f aca="false" t="array" ref="R23:R23">_xlfn.XLOOKUP(N23,tab_fatorTestes[[#All],[Dgts]],tab_fatorTestes[[#All],[Fator]],"Erro",-1,1)</f>
        <v>az</v>
      </c>
    </row>
    <row r="24" customFormat="false" ht="12.75" hidden="false" customHeight="true" outlineLevel="0" collapsed="false">
      <c r="A24" s="1" t="s">
        <v>95</v>
      </c>
      <c r="B24" s="1" t="n">
        <f aca="false">B23+1</f>
        <v>23</v>
      </c>
      <c r="C24" s="2" t="n">
        <f aca="false">C23*1000</f>
        <v>1E+066</v>
      </c>
      <c r="D24" s="8" t="n">
        <f aca="false">LEN(TEXT(C24,0))</f>
        <v>67</v>
      </c>
      <c r="E24" s="8"/>
      <c r="F24" s="183" t="s">
        <v>106</v>
      </c>
      <c r="G24" s="168" t="n">
        <f aca="false">'Idle-Normal'!AE30</f>
        <v>6.32</v>
      </c>
      <c r="H24" s="169" t="str">
        <f aca="false">'Idle-Normal'!AF30</f>
        <v>az</v>
      </c>
      <c r="I24" s="396" t="n">
        <f aca="false">G24*(VLOOKUP(H24,tab_fatorTestes[],3,0))</f>
        <v>6.32E+090</v>
      </c>
      <c r="J24" s="397" t="n">
        <f aca="false">LEN(TEXT(I24,0))</f>
        <v>91</v>
      </c>
      <c r="K24" s="397" t="str">
        <f aca="false" t="array" ref="K24:K24">_xlfn.XLOOKUP(J24,tab_fatorTestes[[#All],[Dgts]],tab_fatorTestes[[#All],[Fator]],"Erro",-1,1)</f>
        <v>az</v>
      </c>
      <c r="L24" s="397" t="b">
        <f aca="false">K24=H24</f>
        <v>1</v>
      </c>
      <c r="M24" s="398" t="n">
        <f aca="false">I24*$G$2</f>
        <v>3.7288E+091</v>
      </c>
      <c r="N24" s="397" t="n">
        <f aca="false">LEN(TEXT(M24,0))</f>
        <v>92</v>
      </c>
      <c r="O24" s="399" t="n">
        <f aca="false">VLOOKUP(R24,tab_fatorTestes[],3,0)</f>
        <v>1E+090</v>
      </c>
      <c r="P24" s="400" t="n">
        <f aca="false">M24/O24</f>
        <v>37.288</v>
      </c>
      <c r="Q24" s="168" t="n">
        <f aca="false">ROUND(P24,(IF(P24&lt;10,2,IF(P24&lt;100,1,IF(P24&gt;100,0)))))</f>
        <v>37.3</v>
      </c>
      <c r="R24" s="399" t="str">
        <f aca="false" t="array" ref="R24:R24">_xlfn.XLOOKUP(N24,tab_fatorTestes[[#All],[Dgts]],tab_fatorTestes[[#All],[Fator]],"Erro",-1,1)</f>
        <v>az</v>
      </c>
    </row>
    <row r="25" customFormat="false" ht="12.75" hidden="false" customHeight="true" outlineLevel="0" collapsed="false">
      <c r="A25" s="1" t="s">
        <v>97</v>
      </c>
      <c r="B25" s="1" t="n">
        <f aca="false">B24+1</f>
        <v>24</v>
      </c>
      <c r="C25" s="2" t="n">
        <f aca="false">C24*1000</f>
        <v>1E+069</v>
      </c>
      <c r="D25" s="8" t="n">
        <f aca="false">LEN(TEXT(C25,0))</f>
        <v>70</v>
      </c>
      <c r="E25" s="8"/>
      <c r="F25" s="71" t="s">
        <v>107</v>
      </c>
      <c r="G25" s="72" t="n">
        <f aca="false">'Idle-Normal'!AE31</f>
        <v>11.1</v>
      </c>
      <c r="H25" s="73" t="str">
        <f aca="false">'Idle-Normal'!AF31</f>
        <v>az</v>
      </c>
      <c r="I25" s="387" t="n">
        <f aca="false">G25*(VLOOKUP(H25,tab_fatorTestes[],3,0))</f>
        <v>1.11E+091</v>
      </c>
      <c r="J25" s="74" t="n">
        <f aca="false">LEN(TEXT(I25,0))</f>
        <v>92</v>
      </c>
      <c r="K25" s="74" t="str">
        <f aca="false" t="array" ref="K25:K25">_xlfn.XLOOKUP(J25,tab_fatorTestes[[#All],[Dgts]],tab_fatorTestes[[#All],[Fator]],"Erro",-1,1)</f>
        <v>az</v>
      </c>
      <c r="L25" s="74" t="b">
        <f aca="false">K25=H25</f>
        <v>1</v>
      </c>
      <c r="M25" s="388" t="n">
        <f aca="false">I25*$G$2</f>
        <v>6.549E+091</v>
      </c>
      <c r="N25" s="74" t="n">
        <f aca="false">LEN(TEXT(M25,0))</f>
        <v>92</v>
      </c>
      <c r="O25" s="73" t="n">
        <f aca="false">VLOOKUP(R25,tab_fatorTestes[],3,0)</f>
        <v>1E+090</v>
      </c>
      <c r="P25" s="72" t="n">
        <f aca="false">M25/O25</f>
        <v>65.49</v>
      </c>
      <c r="Q25" s="72" t="n">
        <f aca="false">ROUND(P25,(IF(P25&lt;10,2,IF(P25&lt;100,1,IF(P25&gt;100,0)))))</f>
        <v>65.5</v>
      </c>
      <c r="R25" s="73" t="str">
        <f aca="false" t="array" ref="R25:R25">_xlfn.XLOOKUP(N25,tab_fatorTestes[[#All],[Dgts]],tab_fatorTestes[[#All],[Fator]],"Erro",-1,1)</f>
        <v>az</v>
      </c>
    </row>
    <row r="26" customFormat="false" ht="12.75" hidden="false" customHeight="true" outlineLevel="0" collapsed="false">
      <c r="A26" s="1" t="s">
        <v>53</v>
      </c>
      <c r="B26" s="1" t="n">
        <f aca="false">B25+1</f>
        <v>25</v>
      </c>
      <c r="C26" s="2" t="n">
        <f aca="false">C25*1000</f>
        <v>1E+072</v>
      </c>
      <c r="D26" s="8" t="n">
        <f aca="false">LEN(TEXT(C26,0))</f>
        <v>73</v>
      </c>
      <c r="E26" s="8"/>
      <c r="F26" s="4" t="s">
        <v>61</v>
      </c>
      <c r="M26" s="44" t="n">
        <f aca="false">SUM(M21:M25)</f>
        <v>1.267969E+092</v>
      </c>
      <c r="N26" s="5" t="n">
        <f aca="false">LEN(TEXT(M26,0))</f>
        <v>93</v>
      </c>
      <c r="O26" s="5" t="n">
        <f aca="false">VLOOKUP(R26,tab_fatorTestes[],3,0)</f>
        <v>1E+090</v>
      </c>
      <c r="P26" s="5" t="n">
        <f aca="false">M26/O26</f>
        <v>126.7969</v>
      </c>
      <c r="Q26" s="5" t="n">
        <f aca="false">ROUND(P26,(IF(P26&lt;10,2,IF(P26&lt;100,1,IF(P26&gt;100,0)))))</f>
        <v>127</v>
      </c>
      <c r="R26" s="5" t="str">
        <f aca="false" t="array" ref="R26:R26">_xlfn.XLOOKUP(N26,tab_fatorTestes[[#All],[Dgts]],tab_fatorTestes[[#All],[Fator]],"Erro",-1,1)</f>
        <v>az</v>
      </c>
    </row>
    <row r="27" customFormat="false" ht="12.75" hidden="false" customHeight="true" outlineLevel="0" collapsed="false">
      <c r="A27" s="1" t="s">
        <v>98</v>
      </c>
      <c r="B27" s="1" t="n">
        <f aca="false">B26+1</f>
        <v>26</v>
      </c>
      <c r="C27" s="2" t="n">
        <f aca="false">C26*1000</f>
        <v>1E+075</v>
      </c>
      <c r="D27" s="8" t="n">
        <f aca="false">LEN(TEXT(C27,0))</f>
        <v>76</v>
      </c>
      <c r="E27" s="8"/>
    </row>
    <row r="28" customFormat="false" ht="12.75" hidden="false" customHeight="true" outlineLevel="0" collapsed="false">
      <c r="A28" s="1" t="s">
        <v>101</v>
      </c>
      <c r="B28" s="1" t="n">
        <f aca="false">B27+1</f>
        <v>27</v>
      </c>
      <c r="C28" s="2" t="n">
        <f aca="false">C27*1000</f>
        <v>1E+078</v>
      </c>
      <c r="D28" s="8" t="n">
        <f aca="false">LEN(TEXT(C28,0))</f>
        <v>79</v>
      </c>
      <c r="E28" s="8"/>
      <c r="F28" s="389" t="s">
        <v>109</v>
      </c>
      <c r="G28" s="389" t="n">
        <f aca="false">'Idle-Normal'!AE37</f>
        <v>1.03</v>
      </c>
      <c r="H28" s="390" t="str">
        <f aca="false">'Idle-Normal'!AF37</f>
        <v>aw</v>
      </c>
      <c r="I28" s="391" t="n">
        <f aca="false">G28*(VLOOKUP(H28,tab_fatorTestes[],3,0))</f>
        <v>1.03E+081</v>
      </c>
      <c r="J28" s="392" t="n">
        <f aca="false">LEN(TEXT(I28,0))</f>
        <v>82</v>
      </c>
      <c r="K28" s="392" t="str">
        <f aca="false" t="array" ref="K28:K28">_xlfn.XLOOKUP(J28,tab_fatorTestes[[#All],[Dgts]],tab_fatorTestes[[#All],[Fator]],"Erro",-1,1)</f>
        <v>aw</v>
      </c>
      <c r="L28" s="392" t="b">
        <f aca="false">K28=H28</f>
        <v>1</v>
      </c>
      <c r="M28" s="393" t="n">
        <f aca="false">I28*$G$2</f>
        <v>6.077E+081</v>
      </c>
      <c r="N28" s="392" t="n">
        <f aca="false">LEN(TEXT(M28,0))</f>
        <v>82</v>
      </c>
      <c r="O28" s="390" t="n">
        <f aca="false">VLOOKUP(R28,tab_fatorTestes[],3,0)</f>
        <v>1E+081</v>
      </c>
      <c r="P28" s="389" t="n">
        <f aca="false">M28/O28</f>
        <v>6.077</v>
      </c>
      <c r="Q28" s="389" t="n">
        <f aca="false">ROUND(P28,(IF(P28&lt;10,2,IF(P28&lt;100,1,IF(P28&gt;100,0)))))</f>
        <v>6.08</v>
      </c>
      <c r="R28" s="390" t="str">
        <f aca="false" t="array" ref="R28:R28">_xlfn.XLOOKUP(N28,tab_fatorTestes[[#All],[Dgts]],tab_fatorTestes[[#All],[Fator]],"Erro",-1,1)</f>
        <v>aw</v>
      </c>
    </row>
    <row r="29" customFormat="false" ht="12.75" hidden="false" customHeight="true" outlineLevel="0" collapsed="false">
      <c r="A29" s="1" t="s">
        <v>103</v>
      </c>
      <c r="B29" s="1" t="n">
        <f aca="false">B28+1</f>
        <v>28</v>
      </c>
      <c r="C29" s="2" t="n">
        <f aca="false">C28*1000</f>
        <v>1E+081</v>
      </c>
      <c r="D29" s="8" t="n">
        <f aca="false">LEN(TEXT(C29,0))</f>
        <v>82</v>
      </c>
      <c r="E29" s="8"/>
      <c r="F29" s="210" t="s">
        <v>112</v>
      </c>
      <c r="G29" s="210" t="n">
        <f aca="false">'Idle-Normal'!AE38</f>
        <v>31.9</v>
      </c>
      <c r="H29" s="211" t="str">
        <f aca="false">'Idle-Normal'!AF38</f>
        <v>av</v>
      </c>
      <c r="I29" s="401" t="n">
        <f aca="false">G29*(VLOOKUP(H29,tab_fatorTestes[],3,0))</f>
        <v>3.19E+079</v>
      </c>
      <c r="J29" s="219" t="n">
        <f aca="false">LEN(TEXT(I29,0))</f>
        <v>80</v>
      </c>
      <c r="K29" s="219" t="str">
        <f aca="false" t="array" ref="K29:K29">_xlfn.XLOOKUP(J29,tab_fatorTestes[[#All],[Dgts]],tab_fatorTestes[[#All],[Fator]],"Erro",-1,1)</f>
        <v>av</v>
      </c>
      <c r="L29" s="219" t="b">
        <f aca="false">K29=H29</f>
        <v>1</v>
      </c>
      <c r="M29" s="402" t="n">
        <f aca="false">I29*$G$2</f>
        <v>1.8821E+080</v>
      </c>
      <c r="N29" s="219" t="n">
        <f aca="false">LEN(TEXT(M29,0))</f>
        <v>81</v>
      </c>
      <c r="O29" s="403" t="n">
        <f aca="false">VLOOKUP(R29,tab_fatorTestes[],3,0)</f>
        <v>1E+078</v>
      </c>
      <c r="P29" s="217" t="n">
        <f aca="false">M29/O29</f>
        <v>188.21</v>
      </c>
      <c r="Q29" s="210" t="n">
        <f aca="false">ROUND(P29,(IF(P29&lt;10,2,IF(P29&lt;100,1,IF(P29&gt;100,0)))))</f>
        <v>188</v>
      </c>
      <c r="R29" s="403" t="str">
        <f aca="false" t="array" ref="R29:R29">_xlfn.XLOOKUP(N29,tab_fatorTestes[[#All],[Dgts]],tab_fatorTestes[[#All],[Fator]],"Erro",-1,1)</f>
        <v>av</v>
      </c>
    </row>
    <row r="30" customFormat="false" ht="12.75" hidden="false" customHeight="true" outlineLevel="0" collapsed="false">
      <c r="A30" s="1" t="s">
        <v>105</v>
      </c>
      <c r="B30" s="1" t="n">
        <f aca="false">B29+1</f>
        <v>29</v>
      </c>
      <c r="C30" s="2" t="n">
        <f aca="false">C29*1000</f>
        <v>1E+084</v>
      </c>
      <c r="D30" s="8" t="n">
        <f aca="false">LEN(TEXT(C30,0))</f>
        <v>85</v>
      </c>
      <c r="E30" s="8"/>
      <c r="F30" s="35" t="s">
        <v>114</v>
      </c>
      <c r="G30" s="36" t="n">
        <f aca="false">'Idle-Normal'!AE39</f>
        <v>282</v>
      </c>
      <c r="H30" s="37" t="str">
        <f aca="false">'Idle-Normal'!AF39</f>
        <v>av</v>
      </c>
      <c r="I30" s="381" t="n">
        <f aca="false">G30*(VLOOKUP(H30,tab_fatorTestes[],3,0))</f>
        <v>2.82E+080</v>
      </c>
      <c r="J30" s="5" t="n">
        <f aca="false">LEN(TEXT(I30,0))</f>
        <v>81</v>
      </c>
      <c r="K30" s="5" t="str">
        <f aca="false" t="array" ref="K30:K30">_xlfn.XLOOKUP(J30,tab_fatorTestes[[#All],[Dgts]],tab_fatorTestes[[#All],[Fator]],"Erro",-1,1)</f>
        <v>av</v>
      </c>
      <c r="L30" s="5" t="b">
        <f aca="false">K30=H30</f>
        <v>1</v>
      </c>
      <c r="M30" s="382" t="n">
        <f aca="false">I30*$G$2</f>
        <v>1.6638E+081</v>
      </c>
      <c r="N30" s="5" t="n">
        <f aca="false">LEN(TEXT(M30,0))</f>
        <v>82</v>
      </c>
      <c r="O30" s="37" t="n">
        <f aca="false">VLOOKUP(R30,tab_fatorTestes[],3,0)</f>
        <v>1E+081</v>
      </c>
      <c r="P30" s="36" t="n">
        <f aca="false">M30/O30</f>
        <v>1.6638</v>
      </c>
      <c r="Q30" s="36" t="n">
        <f aca="false">ROUND(P30,(IF(P30&lt;10,2,IF(P30&lt;100,1,IF(P30&gt;100,0)))))</f>
        <v>1.66</v>
      </c>
      <c r="R30" s="37" t="str">
        <f aca="false" t="array" ref="R30:R30">_xlfn.XLOOKUP(N30,tab_fatorTestes[[#All],[Dgts]],tab_fatorTestes[[#All],[Fator]],"Erro",-1,1)</f>
        <v>aw</v>
      </c>
    </row>
    <row r="31" customFormat="false" ht="12.75" hidden="false" customHeight="true" outlineLevel="0" collapsed="false">
      <c r="A31" s="1" t="s">
        <v>100</v>
      </c>
      <c r="B31" s="1" t="n">
        <f aca="false">B30+1</f>
        <v>30</v>
      </c>
      <c r="C31" s="2" t="n">
        <f aca="false">C30*1000</f>
        <v>1E+087</v>
      </c>
      <c r="D31" s="8" t="n">
        <f aca="false">LEN(TEXT(C31,0))</f>
        <v>88</v>
      </c>
      <c r="E31" s="8"/>
      <c r="F31" s="210" t="s">
        <v>116</v>
      </c>
      <c r="G31" s="210" t="n">
        <f aca="false">'Idle-Normal'!AE40</f>
        <v>44.6</v>
      </c>
      <c r="H31" s="211" t="str">
        <f aca="false">'Idle-Normal'!AF40</f>
        <v>av</v>
      </c>
      <c r="I31" s="401" t="n">
        <f aca="false">G31*(VLOOKUP(H31,tab_fatorTestes[],3,0))</f>
        <v>4.46E+079</v>
      </c>
      <c r="J31" s="219" t="n">
        <f aca="false">LEN(TEXT(I31,0))</f>
        <v>80</v>
      </c>
      <c r="K31" s="219" t="str">
        <f aca="false" t="array" ref="K31:K31">_xlfn.XLOOKUP(J31,tab_fatorTestes[[#All],[Dgts]],tab_fatorTestes[[#All],[Fator]],"Erro",-1,1)</f>
        <v>av</v>
      </c>
      <c r="L31" s="219" t="b">
        <f aca="false">K31=H31</f>
        <v>1</v>
      </c>
      <c r="M31" s="402" t="n">
        <f aca="false">I31*$G$2</f>
        <v>2.6314E+080</v>
      </c>
      <c r="N31" s="219" t="n">
        <f aca="false">LEN(TEXT(M31,0))</f>
        <v>81</v>
      </c>
      <c r="O31" s="403" t="n">
        <f aca="false">VLOOKUP(R31,tab_fatorTestes[],3,0)</f>
        <v>1E+078</v>
      </c>
      <c r="P31" s="217" t="n">
        <f aca="false">M31/O31</f>
        <v>263.14</v>
      </c>
      <c r="Q31" s="210" t="n">
        <f aca="false">ROUND(P31,(IF(P31&lt;10,2,IF(P31&lt;100,1,IF(P31&gt;100,0)))))</f>
        <v>263</v>
      </c>
      <c r="R31" s="403" t="str">
        <f aca="false" t="array" ref="R31:R31">_xlfn.XLOOKUP(N31,tab_fatorTestes[[#All],[Dgts]],tab_fatorTestes[[#All],[Fator]],"Erro",-1,1)</f>
        <v>av</v>
      </c>
    </row>
    <row r="32" customFormat="false" ht="12.75" hidden="false" customHeight="true" outlineLevel="0" collapsed="false">
      <c r="A32" s="1" t="s">
        <v>75</v>
      </c>
      <c r="B32" s="1" t="n">
        <f aca="false">B31+1</f>
        <v>31</v>
      </c>
      <c r="C32" s="2" t="n">
        <f aca="false">C31*1000</f>
        <v>1E+090</v>
      </c>
      <c r="D32" s="8" t="n">
        <f aca="false">LEN(TEXT(C32,0))</f>
        <v>91</v>
      </c>
      <c r="E32" s="8"/>
      <c r="F32" s="71" t="s">
        <v>118</v>
      </c>
      <c r="G32" s="72" t="n">
        <f aca="false">'Idle-Normal'!AE41</f>
        <v>1.02</v>
      </c>
      <c r="H32" s="73" t="str">
        <f aca="false">'Idle-Normal'!AF41</f>
        <v>aw</v>
      </c>
      <c r="I32" s="387" t="n">
        <f aca="false">G32*(VLOOKUP(H32,tab_fatorTestes[],3,0))</f>
        <v>1.02E+081</v>
      </c>
      <c r="J32" s="74" t="n">
        <f aca="false">LEN(TEXT(I32,0))</f>
        <v>82</v>
      </c>
      <c r="K32" s="74" t="str">
        <f aca="false" t="array" ref="K32:K32">_xlfn.XLOOKUP(J32,tab_fatorTestes[[#All],[Dgts]],tab_fatorTestes[[#All],[Fator]],"Erro",-1,1)</f>
        <v>aw</v>
      </c>
      <c r="L32" s="74" t="b">
        <f aca="false">K32=H32</f>
        <v>1</v>
      </c>
      <c r="M32" s="388" t="n">
        <f aca="false">I32*$G$2</f>
        <v>6.018E+081</v>
      </c>
      <c r="N32" s="74" t="n">
        <f aca="false">LEN(TEXT(M32,0))</f>
        <v>82</v>
      </c>
      <c r="O32" s="73" t="n">
        <f aca="false">VLOOKUP(R32,tab_fatorTestes[],3,0)</f>
        <v>1E+081</v>
      </c>
      <c r="P32" s="72" t="n">
        <f aca="false">M32/O32</f>
        <v>6.018</v>
      </c>
      <c r="Q32" s="72" t="n">
        <f aca="false">ROUND(P32,(IF(P32&lt;10,2,IF(P32&lt;100,1,IF(P32&gt;100,0)))))</f>
        <v>6.02</v>
      </c>
      <c r="R32" s="73" t="str">
        <f aca="false" t="array" ref="R32:R32">_xlfn.XLOOKUP(N32,tab_fatorTestes[[#All],[Dgts]],tab_fatorTestes[[#All],[Fator]],"Erro",-1,1)</f>
        <v>aw</v>
      </c>
    </row>
    <row r="33" customFormat="false" ht="12.75" hidden="false" customHeight="true" outlineLevel="0" collapsed="false">
      <c r="A33" s="1" t="s">
        <v>79</v>
      </c>
      <c r="B33" s="1" t="n">
        <f aca="false">B32+1</f>
        <v>32</v>
      </c>
      <c r="C33" s="2" t="n">
        <f aca="false">C32*1000</f>
        <v>1E+093</v>
      </c>
      <c r="D33" s="8" t="n">
        <f aca="false">LEN(TEXT(C33,0))</f>
        <v>94</v>
      </c>
      <c r="E33" s="8"/>
      <c r="F33" s="4" t="s">
        <v>61</v>
      </c>
      <c r="M33" s="44" t="n">
        <f aca="false">SUM(M28:M32)</f>
        <v>1.421015E+082</v>
      </c>
      <c r="N33" s="5" t="n">
        <f aca="false">LEN(TEXT(M33,0))</f>
        <v>83</v>
      </c>
      <c r="O33" s="5" t="n">
        <f aca="false">VLOOKUP(R33,tab_fatorTestes[],3,0)</f>
        <v>1E+081</v>
      </c>
      <c r="P33" s="5" t="n">
        <f aca="false">M33/O33</f>
        <v>14.21015</v>
      </c>
      <c r="Q33" s="5" t="n">
        <f aca="false">ROUND(P33,(IF(P33&lt;10,2,IF(P33&lt;100,1,IF(P33&gt;100,0)))))</f>
        <v>14.2</v>
      </c>
      <c r="R33" s="5" t="str">
        <f aca="false" t="array" ref="R33:R33">_xlfn.XLOOKUP(N33,tab_fatorTestes[[#All],[Dgts]],tab_fatorTestes[[#All],[Fator]],"Erro",-1,1)</f>
        <v>aw</v>
      </c>
    </row>
    <row r="34" customFormat="false" ht="12.75" hidden="false" customHeight="true" outlineLevel="0" collapsed="false">
      <c r="A34" s="1" t="s">
        <v>38</v>
      </c>
      <c r="B34" s="1" t="n">
        <f aca="false">B33+1</f>
        <v>33</v>
      </c>
      <c r="C34" s="2" t="n">
        <f aca="false">C33*1000</f>
        <v>1E+096</v>
      </c>
      <c r="D34" s="8" t="n">
        <f aca="false">LEN(TEXT(C34,0))</f>
        <v>97</v>
      </c>
      <c r="E34" s="8"/>
    </row>
    <row r="35" customFormat="false" ht="12.75" hidden="false" customHeight="true" outlineLevel="0" collapsed="false">
      <c r="A35" s="1" t="s">
        <v>49</v>
      </c>
      <c r="B35" s="1" t="n">
        <f aca="false">B34+1</f>
        <v>34</v>
      </c>
      <c r="C35" s="2" t="n">
        <f aca="false">C34*1000</f>
        <v>1E+099</v>
      </c>
      <c r="D35" s="8" t="n">
        <f aca="false">LEN(TEXT(C35,0))</f>
        <v>100</v>
      </c>
      <c r="E35" s="8"/>
      <c r="F35" s="389" t="s">
        <v>126</v>
      </c>
      <c r="G35" s="389" t="n">
        <f aca="false">'Idle-Normal'!AE47</f>
        <v>1.63</v>
      </c>
      <c r="H35" s="390" t="str">
        <f aca="false">'Idle-Normal'!AF47</f>
        <v>au</v>
      </c>
      <c r="I35" s="391" t="n">
        <f aca="false">G35*(VLOOKUP(H35,tab_fatorTestes[],3,0))</f>
        <v>1.63E+075</v>
      </c>
      <c r="J35" s="392" t="n">
        <f aca="false">LEN(TEXT(I35,0))</f>
        <v>76</v>
      </c>
      <c r="K35" s="392" t="str">
        <f aca="false" t="array" ref="K35:K35">_xlfn.XLOOKUP(J35,tab_fatorTestes[[#All],[Dgts]],tab_fatorTestes[[#All],[Fator]],"Erro",-1,1)</f>
        <v>au</v>
      </c>
      <c r="L35" s="392" t="b">
        <f aca="false">K35=H35</f>
        <v>1</v>
      </c>
      <c r="M35" s="393" t="n">
        <f aca="false">I35*$G$2</f>
        <v>9.617E+075</v>
      </c>
      <c r="N35" s="392" t="n">
        <f aca="false">LEN(TEXT(M35,0))</f>
        <v>76</v>
      </c>
      <c r="O35" s="390" t="n">
        <f aca="false">VLOOKUP(R35,tab_fatorTestes[],3,0)</f>
        <v>1E+075</v>
      </c>
      <c r="P35" s="389" t="n">
        <f aca="false">M35/O35</f>
        <v>9.617</v>
      </c>
      <c r="Q35" s="389" t="n">
        <f aca="false">ROUND(P35,(IF(P35&lt;10,2,IF(P35&lt;100,1,IF(P35&gt;100,0)))))</f>
        <v>9.62</v>
      </c>
      <c r="R35" s="390" t="str">
        <f aca="false" t="array" ref="R35:R35">_xlfn.XLOOKUP(N35,tab_fatorTestes[[#All],[Dgts]],tab_fatorTestes[[#All],[Fator]],"Erro",-1,1)</f>
        <v>au</v>
      </c>
    </row>
    <row r="36" customFormat="false" ht="12.75" hidden="false" customHeight="true" outlineLevel="0" collapsed="false">
      <c r="A36" s="1" t="s">
        <v>76</v>
      </c>
      <c r="B36" s="1" t="n">
        <f aca="false">B35+1</f>
        <v>35</v>
      </c>
      <c r="C36" s="2" t="n">
        <f aca="false">C35*1000</f>
        <v>1E+102</v>
      </c>
      <c r="D36" s="8" t="n">
        <f aca="false">LEN(TEXT(C36,0))</f>
        <v>103</v>
      </c>
      <c r="E36" s="8"/>
      <c r="F36" s="250" t="s">
        <v>128</v>
      </c>
      <c r="G36" s="250" t="n">
        <f aca="false">'Idle-Normal'!AE48</f>
        <v>6.63</v>
      </c>
      <c r="H36" s="251" t="str">
        <f aca="false">'Idle-Normal'!AF48</f>
        <v>au</v>
      </c>
      <c r="I36" s="404" t="n">
        <f aca="false">G36*(VLOOKUP(H36,tab_fatorTestes[],3,0))</f>
        <v>6.63E+075</v>
      </c>
      <c r="J36" s="405" t="n">
        <f aca="false">LEN(TEXT(I36,0))</f>
        <v>76</v>
      </c>
      <c r="K36" s="405" t="str">
        <f aca="false" t="array" ref="K36:K36">_xlfn.XLOOKUP(J36,tab_fatorTestes[[#All],[Dgts]],tab_fatorTestes[[#All],[Fator]],"Erro",-1,1)</f>
        <v>au</v>
      </c>
      <c r="L36" s="405" t="b">
        <f aca="false">K36=H36</f>
        <v>1</v>
      </c>
      <c r="M36" s="406" t="n">
        <f aca="false">I36*$G$2</f>
        <v>3.9117E+076</v>
      </c>
      <c r="N36" s="405" t="n">
        <f aca="false">LEN(TEXT(M36,0))</f>
        <v>77</v>
      </c>
      <c r="O36" s="407" t="n">
        <f aca="false">VLOOKUP(R36,tab_fatorTestes[],3,0)</f>
        <v>1E+075</v>
      </c>
      <c r="P36" s="408" t="n">
        <f aca="false">M36/O36</f>
        <v>39.117</v>
      </c>
      <c r="Q36" s="250" t="n">
        <f aca="false">ROUND(P36,(IF(P36&lt;10,2,IF(P36&lt;100,1,IF(P36&gt;100,0)))))</f>
        <v>39.1</v>
      </c>
      <c r="R36" s="407" t="str">
        <f aca="false" t="array" ref="R36:R36">_xlfn.XLOOKUP(N36,tab_fatorTestes[[#All],[Dgts]],tab_fatorTestes[[#All],[Fator]],"Erro",-1,1)</f>
        <v>au</v>
      </c>
    </row>
    <row r="37" customFormat="false" ht="12.75" hidden="false" customHeight="true" outlineLevel="0" collapsed="false">
      <c r="A37" s="1" t="s">
        <v>57</v>
      </c>
      <c r="B37" s="1" t="n">
        <f aca="false">B36+1</f>
        <v>36</v>
      </c>
      <c r="C37" s="2" t="n">
        <f aca="false">C36*1000</f>
        <v>1E+105</v>
      </c>
      <c r="D37" s="8" t="n">
        <f aca="false">LEN(TEXT(C37,0))</f>
        <v>106</v>
      </c>
      <c r="E37" s="8"/>
      <c r="F37" s="35" t="s">
        <v>130</v>
      </c>
      <c r="G37" s="36" t="n">
        <f aca="false">'Idle-Normal'!AE49</f>
        <v>113</v>
      </c>
      <c r="H37" s="37" t="str">
        <f aca="false">'Idle-Normal'!AF49</f>
        <v>au</v>
      </c>
      <c r="I37" s="381" t="n">
        <f aca="false">G37*(VLOOKUP(H37,tab_fatorTestes[],3,0))</f>
        <v>1.13E+077</v>
      </c>
      <c r="J37" s="5" t="n">
        <f aca="false">LEN(TEXT(I37,0))</f>
        <v>78</v>
      </c>
      <c r="K37" s="5" t="str">
        <f aca="false" t="array" ref="K37:K37">_xlfn.XLOOKUP(J37,tab_fatorTestes[[#All],[Dgts]],tab_fatorTestes[[#All],[Fator]],"Erro",-1,1)</f>
        <v>au</v>
      </c>
      <c r="L37" s="5" t="b">
        <f aca="false">K37=H37</f>
        <v>1</v>
      </c>
      <c r="M37" s="382" t="n">
        <f aca="false">I37*$G$2</f>
        <v>6.667E+077</v>
      </c>
      <c r="N37" s="5" t="n">
        <f aca="false">LEN(TEXT(M37,0))</f>
        <v>78</v>
      </c>
      <c r="O37" s="37" t="n">
        <f aca="false">VLOOKUP(R37,tab_fatorTestes[],3,0)</f>
        <v>1E+075</v>
      </c>
      <c r="P37" s="36" t="n">
        <f aca="false">M37/O37</f>
        <v>666.7</v>
      </c>
      <c r="Q37" s="36" t="n">
        <f aca="false">ROUND(P37,(IF(P37&lt;10,2,IF(P37&lt;100,1,IF(P37&gt;100,0)))))</f>
        <v>667</v>
      </c>
      <c r="R37" s="37" t="str">
        <f aca="false" t="array" ref="R37:R37">_xlfn.XLOOKUP(N37,tab_fatorTestes[[#All],[Dgts]],tab_fatorTestes[[#All],[Fator]],"Erro",-1,1)</f>
        <v>au</v>
      </c>
    </row>
    <row r="38" customFormat="false" ht="12.75" hidden="false" customHeight="true" outlineLevel="0" collapsed="false">
      <c r="A38" s="1" t="s">
        <v>110</v>
      </c>
      <c r="B38" s="1" t="n">
        <f aca="false">B37+1</f>
        <v>37</v>
      </c>
      <c r="C38" s="2" t="n">
        <f aca="false">C37*1000</f>
        <v>1E+108</v>
      </c>
      <c r="D38" s="8" t="n">
        <f aca="false">LEN(TEXT(C38,0))</f>
        <v>109</v>
      </c>
      <c r="E38" s="8"/>
      <c r="F38" s="264" t="s">
        <v>132</v>
      </c>
      <c r="G38" s="250" t="n">
        <f aca="false">'Idle-Normal'!AE50</f>
        <v>151</v>
      </c>
      <c r="H38" s="251" t="str">
        <f aca="false">'Idle-Normal'!AF50</f>
        <v>au</v>
      </c>
      <c r="I38" s="404" t="n">
        <f aca="false">G38*(VLOOKUP(H38,tab_fatorTestes[],3,0))</f>
        <v>1.51E+077</v>
      </c>
      <c r="J38" s="405" t="n">
        <f aca="false">LEN(TEXT(I38,0))</f>
        <v>78</v>
      </c>
      <c r="K38" s="405" t="str">
        <f aca="false" t="array" ref="K38:K38">_xlfn.XLOOKUP(J38,tab_fatorTestes[[#All],[Dgts]],tab_fatorTestes[[#All],[Fator]],"Erro",-1,1)</f>
        <v>au</v>
      </c>
      <c r="L38" s="405" t="b">
        <f aca="false">K38=H38</f>
        <v>1</v>
      </c>
      <c r="M38" s="406" t="n">
        <f aca="false">I38*$G$2</f>
        <v>8.909E+077</v>
      </c>
      <c r="N38" s="405" t="n">
        <f aca="false">LEN(TEXT(M38,0))</f>
        <v>78</v>
      </c>
      <c r="O38" s="407" t="n">
        <f aca="false">VLOOKUP(R38,tab_fatorTestes[],3,0)</f>
        <v>1E+075</v>
      </c>
      <c r="P38" s="408" t="n">
        <f aca="false">M38/O38</f>
        <v>890.9</v>
      </c>
      <c r="Q38" s="250" t="n">
        <f aca="false">ROUND(P38,(IF(P38&lt;10,2,IF(P38&lt;100,1,IF(P38&gt;100,0)))))</f>
        <v>891</v>
      </c>
      <c r="R38" s="407" t="str">
        <f aca="false" t="array" ref="R38:R38">_xlfn.XLOOKUP(N38,tab_fatorTestes[[#All],[Dgts]],tab_fatorTestes[[#All],[Fator]],"Erro",-1,1)</f>
        <v>au</v>
      </c>
    </row>
    <row r="39" customFormat="false" ht="12.75" hidden="false" customHeight="true" outlineLevel="0" collapsed="false">
      <c r="A39" s="1" t="s">
        <v>39</v>
      </c>
      <c r="B39" s="1" t="n">
        <f aca="false">B38+1</f>
        <v>38</v>
      </c>
      <c r="C39" s="2" t="n">
        <f aca="false">C38*1000</f>
        <v>1E+111</v>
      </c>
      <c r="D39" s="8" t="n">
        <f aca="false">LEN(TEXT(C39,0))</f>
        <v>112</v>
      </c>
      <c r="E39" s="8"/>
      <c r="F39" s="71" t="s">
        <v>134</v>
      </c>
      <c r="G39" s="72" t="n">
        <f aca="false">'Idle-Normal'!AE51</f>
        <v>102</v>
      </c>
      <c r="H39" s="73" t="str">
        <f aca="false">'Idle-Normal'!AF51</f>
        <v>au</v>
      </c>
      <c r="I39" s="387" t="n">
        <f aca="false">G39*(VLOOKUP(H39,tab_fatorTestes[],3,0))</f>
        <v>1.02E+077</v>
      </c>
      <c r="J39" s="74" t="n">
        <f aca="false">LEN(TEXT(I39,0))</f>
        <v>78</v>
      </c>
      <c r="K39" s="74" t="str">
        <f aca="false" t="array" ref="K39:K39">_xlfn.XLOOKUP(J39,tab_fatorTestes[[#All],[Dgts]],tab_fatorTestes[[#All],[Fator]],"Erro",-1,1)</f>
        <v>au</v>
      </c>
      <c r="L39" s="74" t="b">
        <f aca="false">K39=H39</f>
        <v>1</v>
      </c>
      <c r="M39" s="388" t="n">
        <f aca="false">I39*$G$2</f>
        <v>6.018E+077</v>
      </c>
      <c r="N39" s="74" t="n">
        <f aca="false">LEN(TEXT(M39,0))</f>
        <v>78</v>
      </c>
      <c r="O39" s="73" t="n">
        <f aca="false">VLOOKUP(R39,tab_fatorTestes[],3,0)</f>
        <v>1E+075</v>
      </c>
      <c r="P39" s="72" t="n">
        <f aca="false">M39/O39</f>
        <v>601.8</v>
      </c>
      <c r="Q39" s="72" t="n">
        <f aca="false">ROUND(P39,(IF(P39&lt;10,2,IF(P39&lt;100,1,IF(P39&gt;100,0)))))</f>
        <v>602</v>
      </c>
      <c r="R39" s="73" t="str">
        <f aca="false" t="array" ref="R39:R39">_xlfn.XLOOKUP(N39,tab_fatorTestes[[#All],[Dgts]],tab_fatorTestes[[#All],[Fator]],"Erro",-1,1)</f>
        <v>au</v>
      </c>
    </row>
    <row r="40" customFormat="false" ht="12.75" hidden="false" customHeight="true" outlineLevel="0" collapsed="false">
      <c r="A40" s="1" t="s">
        <v>115</v>
      </c>
      <c r="B40" s="1" t="n">
        <f aca="false">B39+1</f>
        <v>39</v>
      </c>
      <c r="C40" s="2" t="n">
        <f aca="false">C39*1000</f>
        <v>1E+114</v>
      </c>
      <c r="D40" s="8" t="n">
        <f aca="false">LEN(TEXT(C40,0))</f>
        <v>115</v>
      </c>
      <c r="E40" s="8"/>
      <c r="F40" s="4" t="s">
        <v>61</v>
      </c>
      <c r="M40" s="44" t="n">
        <f aca="false">SUM(M35:M39)</f>
        <v>2.208134E+078</v>
      </c>
      <c r="N40" s="5" t="n">
        <f aca="false">LEN(TEXT(M40,0))</f>
        <v>79</v>
      </c>
      <c r="O40" s="5" t="n">
        <f aca="false">VLOOKUP(R40,tab_fatorTestes[],3,0)</f>
        <v>1E+078</v>
      </c>
      <c r="P40" s="5" t="n">
        <f aca="false">M40/O40</f>
        <v>2.208134</v>
      </c>
      <c r="Q40" s="5" t="n">
        <f aca="false">ROUND(P40,(IF(P40&lt;10,2,IF(P40&lt;100,1,IF(P40&gt;100,0)))))</f>
        <v>2.21</v>
      </c>
      <c r="R40" s="5" t="str">
        <f aca="false" t="array" ref="R40:R40">_xlfn.XLOOKUP(N40,tab_fatorTestes[[#All],[Dgts]],tab_fatorTestes[[#All],[Fator]],"Erro",-1,1)</f>
        <v>av</v>
      </c>
    </row>
    <row r="41" customFormat="false" ht="12.75" hidden="false" customHeight="true" outlineLevel="0" collapsed="false">
      <c r="A41" s="1" t="s">
        <v>117</v>
      </c>
      <c r="B41" s="1" t="n">
        <f aca="false">B40+1</f>
        <v>40</v>
      </c>
      <c r="C41" s="2" t="n">
        <f aca="false">C40*1000</f>
        <v>1E+117</v>
      </c>
      <c r="D41" s="8" t="n">
        <f aca="false">LEN(TEXT(C41,0))</f>
        <v>118</v>
      </c>
      <c r="E41" s="8"/>
    </row>
    <row r="42" customFormat="false" ht="12.75" hidden="false" customHeight="true" outlineLevel="0" collapsed="false">
      <c r="A42" s="1" t="s">
        <v>119</v>
      </c>
      <c r="B42" s="1" t="n">
        <f aca="false">B41+1</f>
        <v>41</v>
      </c>
      <c r="C42" s="2" t="n">
        <f aca="false">C41*1000</f>
        <v>1E+120</v>
      </c>
      <c r="D42" s="8" t="n">
        <f aca="false">LEN(TEXT(C42,0))</f>
        <v>121</v>
      </c>
      <c r="E42" s="8"/>
      <c r="F42" s="389" t="s">
        <v>142</v>
      </c>
      <c r="G42" s="389" t="n">
        <f aca="false">'Idle-Normal'!AE57</f>
        <v>2.09</v>
      </c>
      <c r="H42" s="390" t="str">
        <f aca="false">'Idle-Normal'!AF57</f>
        <v>au</v>
      </c>
      <c r="I42" s="391" t="n">
        <f aca="false">G42*(VLOOKUP(H42,tab_fatorTestes[],3,0))</f>
        <v>2.09E+075</v>
      </c>
      <c r="J42" s="392" t="n">
        <f aca="false">LEN(TEXT(I42,0))</f>
        <v>76</v>
      </c>
      <c r="K42" s="392" t="str">
        <f aca="false" t="array" ref="K42:K42">_xlfn.XLOOKUP(J42,tab_fatorTestes[[#All],[Dgts]],tab_fatorTestes[[#All],[Fator]],"Erro",-1,1)</f>
        <v>au</v>
      </c>
      <c r="L42" s="392" t="b">
        <f aca="false">K42=H42</f>
        <v>1</v>
      </c>
      <c r="M42" s="393" t="n">
        <f aca="false">I42*$G$2</f>
        <v>1.2331E+076</v>
      </c>
      <c r="N42" s="392" t="n">
        <f aca="false">LEN(TEXT(M42,0))</f>
        <v>77</v>
      </c>
      <c r="O42" s="390" t="n">
        <f aca="false">VLOOKUP(R42,tab_fatorTestes[],3,0)</f>
        <v>1E+075</v>
      </c>
      <c r="P42" s="389" t="n">
        <f aca="false">M42/O42</f>
        <v>12.331</v>
      </c>
      <c r="Q42" s="389" t="n">
        <f aca="false">ROUND(P42,(IF(P42&lt;10,2,IF(P42&lt;100,1,IF(P42&gt;100,0)))))</f>
        <v>12.3</v>
      </c>
      <c r="R42" s="390" t="str">
        <f aca="false" t="array" ref="R42:R42">_xlfn.XLOOKUP(N42,tab_fatorTestes[[#All],[Dgts]],tab_fatorTestes[[#All],[Fator]],"Erro",-1,1)</f>
        <v>au</v>
      </c>
    </row>
    <row r="43" customFormat="false" ht="12.75" hidden="false" customHeight="true" outlineLevel="0" collapsed="false">
      <c r="A43" s="1" t="s">
        <v>120</v>
      </c>
      <c r="B43" s="1" t="n">
        <f aca="false">B42+1</f>
        <v>42</v>
      </c>
      <c r="C43" s="2" t="n">
        <f aca="false">C42*1000</f>
        <v>1E+123</v>
      </c>
      <c r="D43" s="8" t="n">
        <f aca="false">LEN(TEXT(C43,0))</f>
        <v>124</v>
      </c>
      <c r="E43" s="8"/>
      <c r="F43" s="288" t="s">
        <v>144</v>
      </c>
      <c r="G43" s="288" t="n">
        <f aca="false">'Idle-Normal'!AE58</f>
        <v>2.55</v>
      </c>
      <c r="H43" s="289" t="str">
        <f aca="false">'Idle-Normal'!AF58</f>
        <v>au</v>
      </c>
      <c r="I43" s="409" t="n">
        <f aca="false">G43*(VLOOKUP(H43,tab_fatorTestes[],3,0))</f>
        <v>2.55E+075</v>
      </c>
      <c r="J43" s="296" t="n">
        <f aca="false">LEN(TEXT(I43,0))</f>
        <v>76</v>
      </c>
      <c r="K43" s="296" t="str">
        <f aca="false" t="array" ref="K43:K43">_xlfn.XLOOKUP(J43,tab_fatorTestes[[#All],[Dgts]],tab_fatorTestes[[#All],[Fator]],"Erro",-1,1)</f>
        <v>au</v>
      </c>
      <c r="L43" s="296" t="b">
        <f aca="false">K43=H43</f>
        <v>1</v>
      </c>
      <c r="M43" s="410" t="n">
        <f aca="false">I43*$G$2</f>
        <v>1.5045E+076</v>
      </c>
      <c r="N43" s="296" t="n">
        <f aca="false">LEN(TEXT(M43,0))</f>
        <v>77</v>
      </c>
      <c r="O43" s="411" t="n">
        <f aca="false">VLOOKUP(R43,tab_fatorTestes[],3,0)</f>
        <v>1E+075</v>
      </c>
      <c r="P43" s="295" t="n">
        <f aca="false">M43/O43</f>
        <v>15.045</v>
      </c>
      <c r="Q43" s="288" t="n">
        <f aca="false">ROUND(P43,(IF(P43&lt;10,2,IF(P43&lt;100,1,IF(P43&gt;100,0)))))</f>
        <v>15</v>
      </c>
      <c r="R43" s="411" t="str">
        <f aca="false" t="array" ref="R43:R43">_xlfn.XLOOKUP(N43,tab_fatorTestes[[#All],[Dgts]],tab_fatorTestes[[#All],[Fator]],"Erro",-1,1)</f>
        <v>au</v>
      </c>
    </row>
    <row r="44" customFormat="false" ht="12.75" hidden="false" customHeight="true" outlineLevel="0" collapsed="false">
      <c r="A44" s="1" t="s">
        <v>121</v>
      </c>
      <c r="B44" s="1" t="n">
        <f aca="false">B43+1</f>
        <v>43</v>
      </c>
      <c r="C44" s="2" t="n">
        <f aca="false">C43*1000</f>
        <v>1E+126</v>
      </c>
      <c r="D44" s="8" t="n">
        <f aca="false">LEN(TEXT(C44,0))</f>
        <v>127</v>
      </c>
      <c r="E44" s="8"/>
      <c r="F44" s="35" t="s">
        <v>145</v>
      </c>
      <c r="G44" s="36" t="n">
        <f aca="false">'Idle-Normal'!AE59</f>
        <v>56.1</v>
      </c>
      <c r="H44" s="37" t="str">
        <f aca="false">'Idle-Normal'!AF59</f>
        <v>aq</v>
      </c>
      <c r="I44" s="381" t="n">
        <f aca="false">G44*(VLOOKUP(H44,tab_fatorTestes[],3,0))</f>
        <v>5.61E+064</v>
      </c>
      <c r="J44" s="5" t="n">
        <f aca="false">LEN(TEXT(I44,0))</f>
        <v>65</v>
      </c>
      <c r="K44" s="5" t="str">
        <f aca="false" t="array" ref="K44:K44">_xlfn.XLOOKUP(J44,tab_fatorTestes[[#All],[Dgts]],tab_fatorTestes[[#All],[Fator]],"Erro",-1,1)</f>
        <v>aq</v>
      </c>
      <c r="L44" s="5" t="b">
        <f aca="false">K44=H44</f>
        <v>1</v>
      </c>
      <c r="M44" s="382" t="n">
        <f aca="false">I44*$G$2</f>
        <v>3.3099E+065</v>
      </c>
      <c r="N44" s="5" t="n">
        <f aca="false">LEN(TEXT(M44,0))</f>
        <v>66</v>
      </c>
      <c r="O44" s="37" t="n">
        <f aca="false">VLOOKUP(R44,tab_fatorTestes[],3,0)</f>
        <v>1E+063</v>
      </c>
      <c r="P44" s="36" t="n">
        <f aca="false">M44/O44</f>
        <v>330.99</v>
      </c>
      <c r="Q44" s="36" t="n">
        <f aca="false">ROUND(P44,(IF(P44&lt;10,2,IF(P44&lt;100,1,IF(P44&gt;100,0)))))</f>
        <v>331</v>
      </c>
      <c r="R44" s="37" t="str">
        <f aca="false" t="array" ref="R44:R44">_xlfn.XLOOKUP(N44,tab_fatorTestes[[#All],[Dgts]],tab_fatorTestes[[#All],[Fator]],"Erro",-1,1)</f>
        <v>aq</v>
      </c>
    </row>
    <row r="45" customFormat="false" ht="12.75" hidden="false" customHeight="true" outlineLevel="0" collapsed="false">
      <c r="A45" s="1" t="s">
        <v>123</v>
      </c>
      <c r="B45" s="1" t="n">
        <f aca="false">B44+1</f>
        <v>44</v>
      </c>
      <c r="C45" s="2" t="n">
        <f aca="false">C44*1000</f>
        <v>1E+129</v>
      </c>
      <c r="D45" s="8" t="n">
        <f aca="false">LEN(TEXT(C45,0))</f>
        <v>130</v>
      </c>
      <c r="E45" s="8"/>
      <c r="F45" s="288" t="s">
        <v>146</v>
      </c>
      <c r="G45" s="288" t="n">
        <f aca="false">'Idle-Normal'!AE60</f>
        <v>805</v>
      </c>
      <c r="H45" s="289" t="str">
        <f aca="false">'Idle-Normal'!AF60</f>
        <v>at</v>
      </c>
      <c r="I45" s="409" t="n">
        <f aca="false">G45*(VLOOKUP(H45,tab_fatorTestes[],3,0))</f>
        <v>8.05E+074</v>
      </c>
      <c r="J45" s="296" t="n">
        <f aca="false">LEN(TEXT(I45,0))</f>
        <v>75</v>
      </c>
      <c r="K45" s="296" t="str">
        <f aca="false" t="array" ref="K45:K45">_xlfn.XLOOKUP(J45,tab_fatorTestes[[#All],[Dgts]],tab_fatorTestes[[#All],[Fator]],"Erro",-1,1)</f>
        <v>at</v>
      </c>
      <c r="L45" s="296" t="b">
        <f aca="false">K45=H45</f>
        <v>1</v>
      </c>
      <c r="M45" s="410" t="n">
        <f aca="false">I45*$G$2</f>
        <v>4.7495E+075</v>
      </c>
      <c r="N45" s="296" t="n">
        <f aca="false">LEN(TEXT(M45,0))</f>
        <v>76</v>
      </c>
      <c r="O45" s="411" t="n">
        <f aca="false">VLOOKUP(R45,tab_fatorTestes[],3,0)</f>
        <v>1E+075</v>
      </c>
      <c r="P45" s="295" t="n">
        <f aca="false">M45/O45</f>
        <v>4.7495</v>
      </c>
      <c r="Q45" s="288" t="n">
        <f aca="false">ROUND(P45,(IF(P45&lt;10,2,IF(P45&lt;100,1,IF(P45&gt;100,0)))))</f>
        <v>4.75</v>
      </c>
      <c r="R45" s="411" t="str">
        <f aca="false" t="array" ref="R45:R45">_xlfn.XLOOKUP(N45,tab_fatorTestes[[#All],[Dgts]],tab_fatorTestes[[#All],[Fator]],"Erro",-1,1)</f>
        <v>au</v>
      </c>
    </row>
    <row r="46" customFormat="false" ht="12.75" hidden="false" customHeight="false" outlineLevel="0" collapsed="false">
      <c r="A46" s="1" t="s">
        <v>124</v>
      </c>
      <c r="B46" s="1" t="n">
        <f aca="false">B45+1</f>
        <v>45</v>
      </c>
      <c r="C46" s="2" t="n">
        <f aca="false">C45*1000</f>
        <v>1E+132</v>
      </c>
      <c r="D46" s="8" t="n">
        <f aca="false">LEN(TEXT(C46,0))</f>
        <v>133</v>
      </c>
      <c r="E46" s="8"/>
      <c r="F46" s="71" t="s">
        <v>147</v>
      </c>
      <c r="G46" s="72" t="n">
        <f aca="false">'Idle-Normal'!AE61</f>
        <v>10.1</v>
      </c>
      <c r="H46" s="73" t="str">
        <f aca="false">'Idle-Normal'!AF61</f>
        <v>au</v>
      </c>
      <c r="I46" s="387" t="n">
        <f aca="false">G46*(VLOOKUP(H46,tab_fatorTestes[],3,0))</f>
        <v>1.01E+076</v>
      </c>
      <c r="J46" s="74" t="n">
        <f aca="false">LEN(TEXT(I46,0))</f>
        <v>77</v>
      </c>
      <c r="K46" s="74" t="str">
        <f aca="false" t="array" ref="K46:K46">_xlfn.XLOOKUP(J46,tab_fatorTestes[[#All],[Dgts]],tab_fatorTestes[[#All],[Fator]],"Erro",-1,1)</f>
        <v>au</v>
      </c>
      <c r="L46" s="74" t="b">
        <f aca="false">K46=H46</f>
        <v>1</v>
      </c>
      <c r="M46" s="388" t="n">
        <f aca="false">I46*$G$2</f>
        <v>5.959E+076</v>
      </c>
      <c r="N46" s="74" t="n">
        <f aca="false">LEN(TEXT(M46,0))</f>
        <v>77</v>
      </c>
      <c r="O46" s="73" t="n">
        <f aca="false">VLOOKUP(R46,tab_fatorTestes[],3,0)</f>
        <v>1E+075</v>
      </c>
      <c r="P46" s="72" t="n">
        <f aca="false">M46/O46</f>
        <v>59.59</v>
      </c>
      <c r="Q46" s="72" t="n">
        <f aca="false">ROUND(P46,(IF(P46&lt;10,2,IF(P46&lt;100,1,IF(P46&gt;100,0)))))</f>
        <v>59.6</v>
      </c>
      <c r="R46" s="73" t="str">
        <f aca="false" t="array" ref="R46:R46">_xlfn.XLOOKUP(N46,tab_fatorTestes[[#All],[Dgts]],tab_fatorTestes[[#All],[Fator]],"Erro",-1,1)</f>
        <v>au</v>
      </c>
    </row>
    <row r="47" customFormat="false" ht="12.75" hidden="false" customHeight="false" outlineLevel="0" collapsed="false">
      <c r="A47" s="1" t="s">
        <v>125</v>
      </c>
      <c r="B47" s="1" t="n">
        <f aca="false">B46+1</f>
        <v>46</v>
      </c>
      <c r="C47" s="2" t="n">
        <f aca="false">C46*1000</f>
        <v>1E+135</v>
      </c>
      <c r="D47" s="8" t="n">
        <f aca="false">LEN(TEXT(C47,0))</f>
        <v>136</v>
      </c>
      <c r="E47" s="8"/>
      <c r="F47" s="4" t="s">
        <v>61</v>
      </c>
      <c r="M47" s="44" t="n">
        <f aca="false">SUM(M42:M46)</f>
        <v>9.1715500000331E+076</v>
      </c>
      <c r="N47" s="5" t="n">
        <f aca="false">LEN(TEXT(M47,0))</f>
        <v>77</v>
      </c>
      <c r="O47" s="5" t="n">
        <f aca="false">VLOOKUP(R47,tab_fatorTestes[],3,0)</f>
        <v>1E+075</v>
      </c>
      <c r="P47" s="5" t="n">
        <f aca="false">M47/O47</f>
        <v>91.715500000331</v>
      </c>
      <c r="Q47" s="5" t="n">
        <f aca="false">ROUND(P47,(IF(P47&lt;10,2,IF(P47&lt;100,1,IF(P47&gt;100,0)))))</f>
        <v>91.7</v>
      </c>
      <c r="R47" s="5" t="str">
        <f aca="false" t="array" ref="R47:R47">_xlfn.XLOOKUP(N47,tab_fatorTestes[[#All],[Dgts]],tab_fatorTestes[[#All],[Fator]],"Erro",-1,1)</f>
        <v>au</v>
      </c>
    </row>
    <row r="48" customFormat="false" ht="12.75" hidden="false" customHeight="false" outlineLevel="0" collapsed="false">
      <c r="A48" s="1" t="s">
        <v>127</v>
      </c>
      <c r="B48" s="1" t="n">
        <f aca="false">B47+1</f>
        <v>47</v>
      </c>
      <c r="C48" s="2" t="n">
        <f aca="false">C47*1000</f>
        <v>1E+138</v>
      </c>
      <c r="D48" s="8" t="n">
        <f aca="false">LEN(TEXT(C48,0))</f>
        <v>139</v>
      </c>
      <c r="E48" s="8"/>
    </row>
    <row r="49" customFormat="false" ht="12.75" hidden="false" customHeight="false" outlineLevel="0" collapsed="false">
      <c r="A49" s="1" t="s">
        <v>129</v>
      </c>
      <c r="B49" s="1" t="n">
        <f aca="false">B48+1</f>
        <v>48</v>
      </c>
      <c r="C49" s="2" t="n">
        <f aca="false">C48*1000</f>
        <v>1E+141</v>
      </c>
      <c r="D49" s="8" t="n">
        <f aca="false">LEN(TEXT(C49,0))</f>
        <v>142</v>
      </c>
      <c r="E49" s="8"/>
      <c r="F49" s="389" t="s">
        <v>149</v>
      </c>
      <c r="G49" s="389" t="n">
        <f aca="false">'Idle-Normal'!AE67</f>
        <v>1.4</v>
      </c>
      <c r="H49" s="390" t="str">
        <f aca="false">'Idle-Normal'!AF67</f>
        <v>au</v>
      </c>
      <c r="I49" s="391" t="n">
        <f aca="false">G49*(VLOOKUP(H49,tab_fatorTestes[],3,0))</f>
        <v>1.4E+075</v>
      </c>
      <c r="J49" s="392" t="n">
        <f aca="false">LEN(TEXT(I49,0))</f>
        <v>76</v>
      </c>
      <c r="K49" s="392" t="str">
        <f aca="false" t="array" ref="K49:K49">_xlfn.XLOOKUP(J49,tab_fatorTestes[[#All],[Dgts]],tab_fatorTestes[[#All],[Fator]],"Erro",-1,1)</f>
        <v>au</v>
      </c>
      <c r="L49" s="392" t="b">
        <f aca="false">K49=H49</f>
        <v>1</v>
      </c>
      <c r="M49" s="393" t="n">
        <f aca="false">I49*$G$2</f>
        <v>8.26E+075</v>
      </c>
      <c r="N49" s="392" t="n">
        <f aca="false">LEN(TEXT(M49,0))</f>
        <v>76</v>
      </c>
      <c r="O49" s="390" t="n">
        <f aca="false">VLOOKUP(R49,tab_fatorTestes[],3,0)</f>
        <v>1E+075</v>
      </c>
      <c r="P49" s="389" t="n">
        <f aca="false">M49/O49</f>
        <v>8.26</v>
      </c>
      <c r="Q49" s="389" t="n">
        <f aca="false">ROUND(P49,(IF(P49&lt;10,2,IF(P49&lt;100,1,IF(P49&gt;100,0)))))</f>
        <v>8.26</v>
      </c>
      <c r="R49" s="390" t="str">
        <f aca="false" t="array" ref="R49:R49">_xlfn.XLOOKUP(N49,tab_fatorTestes[[#All],[Dgts]],tab_fatorTestes[[#All],[Fator]],"Erro",-1,1)</f>
        <v>au</v>
      </c>
    </row>
    <row r="50" customFormat="false" ht="12.75" hidden="false" customHeight="false" outlineLevel="0" collapsed="false">
      <c r="A50" s="1" t="s">
        <v>131</v>
      </c>
      <c r="B50" s="1" t="n">
        <f aca="false">B49+1</f>
        <v>49</v>
      </c>
      <c r="C50" s="2" t="n">
        <f aca="false">C49*1000</f>
        <v>1E+144</v>
      </c>
      <c r="D50" s="8" t="n">
        <f aca="false">LEN(TEXT(C50,0))</f>
        <v>145</v>
      </c>
      <c r="E50" s="8"/>
      <c r="F50" s="323" t="s">
        <v>150</v>
      </c>
      <c r="G50" s="323" t="n">
        <f aca="false">'Idle-Normal'!AE68</f>
        <v>21.7</v>
      </c>
      <c r="H50" s="324" t="str">
        <f aca="false">'Idle-Normal'!AF68</f>
        <v>au</v>
      </c>
      <c r="I50" s="412" t="n">
        <f aca="false">G50*(VLOOKUP(H50,tab_fatorTestes[],3,0))</f>
        <v>2.17E+076</v>
      </c>
      <c r="J50" s="331" t="n">
        <f aca="false">LEN(TEXT(I50,0))</f>
        <v>77</v>
      </c>
      <c r="K50" s="331" t="str">
        <f aca="false" t="array" ref="K50:K50">_xlfn.XLOOKUP(J50,tab_fatorTestes[[#All],[Dgts]],tab_fatorTestes[[#All],[Fator]],"Erro",-1,1)</f>
        <v>au</v>
      </c>
      <c r="L50" s="331" t="b">
        <f aca="false">K50=H50</f>
        <v>1</v>
      </c>
      <c r="M50" s="413" t="n">
        <f aca="false">I50*$G$2</f>
        <v>1.2803E+077</v>
      </c>
      <c r="N50" s="331" t="n">
        <f aca="false">LEN(TEXT(M50,0))</f>
        <v>78</v>
      </c>
      <c r="O50" s="414" t="n">
        <f aca="false">VLOOKUP(R50,tab_fatorTestes[],3,0)</f>
        <v>1E+075</v>
      </c>
      <c r="P50" s="330" t="n">
        <f aca="false">M50/O50</f>
        <v>128.03</v>
      </c>
      <c r="Q50" s="323" t="n">
        <f aca="false">ROUND(P50,(IF(P50&lt;10,2,IF(P50&lt;100,1,IF(P50&gt;100,0)))))</f>
        <v>128</v>
      </c>
      <c r="R50" s="414" t="str">
        <f aca="false" t="array" ref="R50:R50">_xlfn.XLOOKUP(N50,tab_fatorTestes[[#All],[Dgts]],tab_fatorTestes[[#All],[Fator]],"Erro",-1,1)</f>
        <v>au</v>
      </c>
    </row>
    <row r="51" customFormat="false" ht="12.75" hidden="false" customHeight="false" outlineLevel="0" collapsed="false">
      <c r="A51" s="1" t="s">
        <v>133</v>
      </c>
      <c r="B51" s="1" t="n">
        <f aca="false">B50+1</f>
        <v>50</v>
      </c>
      <c r="C51" s="2" t="n">
        <f aca="false">C50*1000</f>
        <v>1E+147</v>
      </c>
      <c r="D51" s="8" t="n">
        <f aca="false">LEN(TEXT(C51,0))</f>
        <v>148</v>
      </c>
      <c r="E51" s="8"/>
      <c r="F51" s="35" t="s">
        <v>151</v>
      </c>
      <c r="G51" s="36" t="n">
        <f aca="false">'Idle-Normal'!AE69</f>
        <v>376</v>
      </c>
      <c r="H51" s="37" t="str">
        <f aca="false">'Idle-Normal'!AF69</f>
        <v>au</v>
      </c>
      <c r="I51" s="381" t="n">
        <f aca="false">G51*(VLOOKUP(H51,tab_fatorTestes[],3,0))</f>
        <v>3.76E+077</v>
      </c>
      <c r="J51" s="5" t="n">
        <f aca="false">LEN(TEXT(I51,0))</f>
        <v>78</v>
      </c>
      <c r="K51" s="5" t="str">
        <f aca="false" t="array" ref="K51:K51">_xlfn.XLOOKUP(J51,tab_fatorTestes[[#All],[Dgts]],tab_fatorTestes[[#All],[Fator]],"Erro",-1,1)</f>
        <v>au</v>
      </c>
      <c r="L51" s="5" t="b">
        <f aca="false">K51=H51</f>
        <v>1</v>
      </c>
      <c r="M51" s="382" t="n">
        <f aca="false">I51*$G$2</f>
        <v>2.2184E+078</v>
      </c>
      <c r="N51" s="5" t="n">
        <f aca="false">LEN(TEXT(M51,0))</f>
        <v>79</v>
      </c>
      <c r="O51" s="37" t="n">
        <f aca="false">VLOOKUP(R51,tab_fatorTestes[],3,0)</f>
        <v>1E+078</v>
      </c>
      <c r="P51" s="36" t="n">
        <f aca="false">M51/O51</f>
        <v>2.2184</v>
      </c>
      <c r="Q51" s="36" t="n">
        <f aca="false">ROUND(P51,(IF(P51&lt;10,2,IF(P51&lt;100,1,IF(P51&gt;100,0)))))</f>
        <v>2.22</v>
      </c>
      <c r="R51" s="37" t="str">
        <f aca="false" t="array" ref="R51:R51">_xlfn.XLOOKUP(N51,tab_fatorTestes[[#All],[Dgts]],tab_fatorTestes[[#All],[Fator]],"Erro",-1,1)</f>
        <v>av</v>
      </c>
    </row>
    <row r="52" customFormat="false" ht="12.75" hidden="false" customHeight="false" outlineLevel="0" collapsed="false">
      <c r="A52" s="1" t="s">
        <v>135</v>
      </c>
      <c r="B52" s="1" t="n">
        <f aca="false">B51+1</f>
        <v>51</v>
      </c>
      <c r="C52" s="2" t="n">
        <f aca="false">C51*1000</f>
        <v>1E+150</v>
      </c>
      <c r="D52" s="8" t="n">
        <f aca="false">LEN(TEXT(C52,0))</f>
        <v>151</v>
      </c>
      <c r="E52" s="8"/>
      <c r="F52" s="323" t="s">
        <v>152</v>
      </c>
      <c r="G52" s="323" t="n">
        <f aca="false">'Idle-Normal'!AE70</f>
        <v>1.36</v>
      </c>
      <c r="H52" s="324" t="str">
        <f aca="false">'Idle-Normal'!AF70</f>
        <v>av</v>
      </c>
      <c r="I52" s="412" t="n">
        <f aca="false">G52*(VLOOKUP(H52,tab_fatorTestes[],3,0))</f>
        <v>1.36E+078</v>
      </c>
      <c r="J52" s="331" t="n">
        <f aca="false">LEN(TEXT(I52,0))</f>
        <v>79</v>
      </c>
      <c r="K52" s="331" t="str">
        <f aca="false" t="array" ref="K52:K52">_xlfn.XLOOKUP(J52,tab_fatorTestes[[#All],[Dgts]],tab_fatorTestes[[#All],[Fator]],"Erro",-1,1)</f>
        <v>av</v>
      </c>
      <c r="L52" s="331" t="b">
        <f aca="false">K52=H52</f>
        <v>1</v>
      </c>
      <c r="M52" s="413" t="n">
        <f aca="false">I52*$G$2</f>
        <v>8.024E+078</v>
      </c>
      <c r="N52" s="331" t="n">
        <f aca="false">LEN(TEXT(M52,0))</f>
        <v>79</v>
      </c>
      <c r="O52" s="414" t="n">
        <f aca="false">VLOOKUP(R52,tab_fatorTestes[],3,0)</f>
        <v>1E+078</v>
      </c>
      <c r="P52" s="330" t="n">
        <f aca="false">M52/O52</f>
        <v>8.024</v>
      </c>
      <c r="Q52" s="323" t="n">
        <f aca="false">ROUND(P52,(IF(P52&lt;10,2,IF(P52&lt;100,1,IF(P52&gt;100,0)))))</f>
        <v>8.02</v>
      </c>
      <c r="R52" s="414" t="str">
        <f aca="false" t="array" ref="R52:R52">_xlfn.XLOOKUP(N52,tab_fatorTestes[[#All],[Dgts]],tab_fatorTestes[[#All],[Fator]],"Erro",-1,1)</f>
        <v>av</v>
      </c>
    </row>
    <row r="53" customFormat="false" ht="12.75" hidden="false" customHeight="false" outlineLevel="0" collapsed="false">
      <c r="A53" s="1" t="s">
        <v>136</v>
      </c>
      <c r="B53" s="1" t="n">
        <f aca="false">B52+1</f>
        <v>52</v>
      </c>
      <c r="C53" s="2" t="n">
        <f aca="false">C52*1000</f>
        <v>1E+153</v>
      </c>
      <c r="D53" s="8" t="n">
        <f aca="false">LEN(TEXT(C53,0))</f>
        <v>154</v>
      </c>
      <c r="E53" s="8"/>
      <c r="F53" s="71" t="s">
        <v>153</v>
      </c>
      <c r="G53" s="72" t="n">
        <f aca="false">'Idle-Normal'!AE71</f>
        <v>250</v>
      </c>
      <c r="H53" s="73" t="str">
        <f aca="false">'Idle-Normal'!AF71</f>
        <v>au</v>
      </c>
      <c r="I53" s="387" t="n">
        <f aca="false">G53*(VLOOKUP(H53,tab_fatorTestes[],3,0))</f>
        <v>2.5E+077</v>
      </c>
      <c r="J53" s="74" t="n">
        <f aca="false">LEN(TEXT(I53,0))</f>
        <v>78</v>
      </c>
      <c r="K53" s="74" t="str">
        <f aca="false" t="array" ref="K53:K53">_xlfn.XLOOKUP(J53,tab_fatorTestes[[#All],[Dgts]],tab_fatorTestes[[#All],[Fator]],"Erro",-1,1)</f>
        <v>au</v>
      </c>
      <c r="L53" s="74" t="b">
        <f aca="false">K53=H53</f>
        <v>1</v>
      </c>
      <c r="M53" s="388" t="n">
        <f aca="false">I53*$G$2</f>
        <v>1.475E+078</v>
      </c>
      <c r="N53" s="74" t="n">
        <f aca="false">LEN(TEXT(M53,0))</f>
        <v>79</v>
      </c>
      <c r="O53" s="73" t="n">
        <f aca="false">VLOOKUP(R53,tab_fatorTestes[],3,0)</f>
        <v>1E+078</v>
      </c>
      <c r="P53" s="72" t="n">
        <f aca="false">M53/O53</f>
        <v>1.475</v>
      </c>
      <c r="Q53" s="72" t="n">
        <f aca="false">ROUND(P53,(IF(P53&lt;10,2,IF(P53&lt;100,1,IF(P53&gt;100,0)))))</f>
        <v>1.48</v>
      </c>
      <c r="R53" s="73" t="str">
        <f aca="false" t="array" ref="R53:R53">_xlfn.XLOOKUP(N53,tab_fatorTestes[[#All],[Dgts]],tab_fatorTestes[[#All],[Fator]],"Erro",-1,1)</f>
        <v>av</v>
      </c>
    </row>
    <row r="54" customFormat="false" ht="12.75" hidden="false" customHeight="false" outlineLevel="0" collapsed="false">
      <c r="A54" s="1" t="s">
        <v>137</v>
      </c>
      <c r="B54" s="1" t="n">
        <f aca="false">B53+1</f>
        <v>53</v>
      </c>
      <c r="C54" s="2" t="n">
        <f aca="false">C53*1000</f>
        <v>1E+156</v>
      </c>
      <c r="D54" s="8" t="n">
        <f aca="false">LEN(TEXT(C54,0))</f>
        <v>157</v>
      </c>
      <c r="E54" s="8"/>
      <c r="F54" s="4" t="s">
        <v>61</v>
      </c>
      <c r="M54" s="44" t="n">
        <f aca="false">SUM(M49:M53)</f>
        <v>1.185369E+079</v>
      </c>
      <c r="N54" s="5" t="n">
        <f aca="false">LEN(TEXT(M54,0))</f>
        <v>80</v>
      </c>
      <c r="O54" s="5" t="n">
        <f aca="false">VLOOKUP(R54,tab_fatorTestes[],3,0)</f>
        <v>1E+078</v>
      </c>
      <c r="P54" s="5" t="n">
        <f aca="false">M54/O54</f>
        <v>11.85369</v>
      </c>
      <c r="Q54" s="5" t="n">
        <f aca="false">ROUND(P54,(IF(P54&lt;10,2,IF(P54&lt;100,1,IF(P54&gt;100,0)))))</f>
        <v>11.9</v>
      </c>
      <c r="R54" s="5" t="str">
        <f aca="false" t="array" ref="R54:R54">_xlfn.XLOOKUP(N54,tab_fatorTestes[[#All],[Dgts]],tab_fatorTestes[[#All],[Fator]],"Erro",-1,1)</f>
        <v>av</v>
      </c>
    </row>
    <row r="55" customFormat="false" ht="12.75" hidden="false" customHeight="false" outlineLevel="0" collapsed="false">
      <c r="A55" s="1" t="s">
        <v>139</v>
      </c>
      <c r="B55" s="1" t="n">
        <f aca="false">B54+1</f>
        <v>54</v>
      </c>
      <c r="C55" s="2" t="n">
        <f aca="false">C54*1000</f>
        <v>1E+159</v>
      </c>
      <c r="D55" s="8" t="n">
        <f aca="false">LEN(TEXT(C55,0))</f>
        <v>160</v>
      </c>
      <c r="E55" s="8"/>
    </row>
    <row r="56" customFormat="false" ht="12.75" hidden="false" customHeight="false" outlineLevel="0" collapsed="false">
      <c r="A56" s="1" t="s">
        <v>140</v>
      </c>
      <c r="B56" s="1" t="n">
        <f aca="false">B55+1</f>
        <v>55</v>
      </c>
      <c r="C56" s="2" t="n">
        <f aca="false">C55*1000</f>
        <v>1E+162</v>
      </c>
      <c r="D56" s="8" t="n">
        <f aca="false">LEN(TEXT(C56,0))</f>
        <v>163</v>
      </c>
      <c r="E56" s="8"/>
      <c r="F56" s="415" t="s">
        <v>155</v>
      </c>
      <c r="G56" s="389" t="n">
        <f aca="false">'Idle-Normal'!AE77</f>
        <v>62.3</v>
      </c>
      <c r="H56" s="390" t="str">
        <f aca="false">'Idle-Normal'!AF77</f>
        <v>aq</v>
      </c>
      <c r="I56" s="391" t="n">
        <f aca="false">G56*(VLOOKUP(H56,tab_fatorTestes[],3,0))</f>
        <v>6.23E+064</v>
      </c>
      <c r="J56" s="392" t="n">
        <f aca="false">LEN(TEXT(I56,0))</f>
        <v>65</v>
      </c>
      <c r="K56" s="392" t="str">
        <f aca="false" t="array" ref="K56:K56">_xlfn.XLOOKUP(J56,tab_fatorTestes[[#All],[Dgts]],tab_fatorTestes[[#All],[Fator]],"Erro",-1,1)</f>
        <v>aq</v>
      </c>
      <c r="L56" s="392" t="b">
        <f aca="false">K56=H56</f>
        <v>1</v>
      </c>
      <c r="M56" s="393" t="n">
        <f aca="false">I56*$G$2</f>
        <v>3.6757E+065</v>
      </c>
      <c r="N56" s="392" t="n">
        <f aca="false">LEN(TEXT(M56,0))</f>
        <v>66</v>
      </c>
      <c r="O56" s="390" t="n">
        <f aca="false">VLOOKUP(R56,tab_fatorTestes[],3,0)</f>
        <v>1E+063</v>
      </c>
      <c r="P56" s="389" t="n">
        <f aca="false">M56/O56</f>
        <v>367.57</v>
      </c>
      <c r="Q56" s="389" t="n">
        <f aca="false">ROUND(P56,(IF(P56&lt;10,2,IF(P56&lt;100,1,IF(P56&gt;100,0)))))</f>
        <v>368</v>
      </c>
      <c r="R56" s="390" t="str">
        <f aca="false" t="array" ref="R56:R56">_xlfn.XLOOKUP(N56,tab_fatorTestes[[#All],[Dgts]],tab_fatorTestes[[#All],[Fator]],"Erro",-1,1)</f>
        <v>aq</v>
      </c>
    </row>
    <row r="57" customFormat="false" ht="12.75" hidden="false" customHeight="false" outlineLevel="0" collapsed="false">
      <c r="A57" s="1" t="s">
        <v>141</v>
      </c>
      <c r="B57" s="1" t="n">
        <f aca="false">B56+1</f>
        <v>56</v>
      </c>
      <c r="C57" s="2" t="n">
        <f aca="false">C56*1000</f>
        <v>1E+165</v>
      </c>
      <c r="D57" s="8" t="n">
        <f aca="false">LEN(TEXT(C57,0))</f>
        <v>166</v>
      </c>
      <c r="E57" s="8"/>
      <c r="F57" s="356" t="s">
        <v>156</v>
      </c>
      <c r="G57" s="357" t="n">
        <f aca="false">'Idle-Normal'!AE78</f>
        <v>12.6</v>
      </c>
      <c r="H57" s="358" t="str">
        <f aca="false">'Idle-Normal'!AF78</f>
        <v>aq</v>
      </c>
      <c r="I57" s="416" t="n">
        <f aca="false">G57*(VLOOKUP(H57,tab_fatorTestes[],3,0))</f>
        <v>1.26E+064</v>
      </c>
      <c r="J57" s="364" t="n">
        <f aca="false">LEN(TEXT(I57,0))</f>
        <v>65</v>
      </c>
      <c r="K57" s="364" t="str">
        <f aca="false" t="array" ref="K57:K57">_xlfn.XLOOKUP(J57,tab_fatorTestes[[#All],[Dgts]],tab_fatorTestes[[#All],[Fator]],"Erro",-1,1)</f>
        <v>aq</v>
      </c>
      <c r="L57" s="364" t="b">
        <f aca="false">K57=H57</f>
        <v>1</v>
      </c>
      <c r="M57" s="417" t="n">
        <f aca="false">I57*$G$2</f>
        <v>7.434E+064</v>
      </c>
      <c r="N57" s="364" t="n">
        <f aca="false">LEN(TEXT(M57,0))</f>
        <v>65</v>
      </c>
      <c r="O57" s="418" t="n">
        <f aca="false">VLOOKUP(R57,tab_fatorTestes[],3,0)</f>
        <v>1E+063</v>
      </c>
      <c r="P57" s="363" t="n">
        <f aca="false">M57/O57</f>
        <v>74.34</v>
      </c>
      <c r="Q57" s="357" t="n">
        <f aca="false">ROUND(P57,(IF(P57&lt;10,2,IF(P57&lt;100,1,IF(P57&gt;100,0)))))</f>
        <v>74.3</v>
      </c>
      <c r="R57" s="418" t="str">
        <f aca="false" t="array" ref="R57:R57">_xlfn.XLOOKUP(N57,tab_fatorTestes[[#All],[Dgts]],tab_fatorTestes[[#All],[Fator]],"Erro",-1,1)</f>
        <v>aq</v>
      </c>
    </row>
    <row r="58" customFormat="false" ht="12.75" hidden="false" customHeight="false" outlineLevel="0" collapsed="false">
      <c r="A58" s="1" t="s">
        <v>143</v>
      </c>
      <c r="B58" s="1" t="n">
        <f aca="false">B57+1</f>
        <v>57</v>
      </c>
      <c r="C58" s="2" t="n">
        <f aca="false">C57*1000</f>
        <v>1E+168</v>
      </c>
      <c r="D58" s="8" t="n">
        <f aca="false">LEN(TEXT(C58,0))</f>
        <v>169</v>
      </c>
      <c r="E58" s="8"/>
      <c r="F58" s="263" t="s">
        <v>157</v>
      </c>
      <c r="G58" s="36" t="n">
        <f aca="false">'Idle-Normal'!AE79</f>
        <v>440</v>
      </c>
      <c r="H58" s="37" t="str">
        <f aca="false">'Idle-Normal'!AF79</f>
        <v>aq</v>
      </c>
      <c r="I58" s="381" t="n">
        <f aca="false">G58*(VLOOKUP(H58,tab_fatorTestes[],3,0))</f>
        <v>4.4E+065</v>
      </c>
      <c r="J58" s="5" t="n">
        <f aca="false">LEN(TEXT(I58,0))</f>
        <v>66</v>
      </c>
      <c r="K58" s="5" t="str">
        <f aca="false" t="array" ref="K58:K58">_xlfn.XLOOKUP(J58,tab_fatorTestes[[#All],[Dgts]],tab_fatorTestes[[#All],[Fator]],"Erro",-1,1)</f>
        <v>aq</v>
      </c>
      <c r="L58" s="5" t="b">
        <f aca="false">K58=H58</f>
        <v>1</v>
      </c>
      <c r="M58" s="382" t="n">
        <f aca="false">I58*$G$2</f>
        <v>2.596E+066</v>
      </c>
      <c r="N58" s="5" t="n">
        <f aca="false">LEN(TEXT(M58,0))</f>
        <v>67</v>
      </c>
      <c r="O58" s="37" t="n">
        <f aca="false">VLOOKUP(R58,tab_fatorTestes[],3,0)</f>
        <v>1E+066</v>
      </c>
      <c r="P58" s="36" t="n">
        <f aca="false">M58/O58</f>
        <v>2.596</v>
      </c>
      <c r="Q58" s="36" t="n">
        <f aca="false">ROUND(P58,(IF(P58&lt;10,2,IF(P58&lt;100,1,IF(P58&gt;100,0)))))</f>
        <v>2.6</v>
      </c>
      <c r="R58" s="37" t="str">
        <f aca="false" t="array" ref="R58:R58">_xlfn.XLOOKUP(N58,tab_fatorTestes[[#All],[Dgts]],tab_fatorTestes[[#All],[Fator]],"Erro",-1,1)</f>
        <v>ar</v>
      </c>
    </row>
    <row r="59" customFormat="false" ht="12.75" hidden="false" customHeight="false" outlineLevel="0" collapsed="false">
      <c r="E59" s="8"/>
      <c r="F59" s="356" t="s">
        <v>158</v>
      </c>
      <c r="G59" s="357" t="n">
        <f aca="false">'Idle-Normal'!AE80</f>
        <v>1.25</v>
      </c>
      <c r="H59" s="358" t="str">
        <f aca="false">'Idle-Normal'!AF80</f>
        <v>aq</v>
      </c>
      <c r="I59" s="416" t="n">
        <f aca="false">G59*(VLOOKUP(H59,tab_fatorTestes[],3,0))</f>
        <v>1.25E+063</v>
      </c>
      <c r="J59" s="364" t="n">
        <f aca="false">LEN(TEXT(I59,0))</f>
        <v>64</v>
      </c>
      <c r="K59" s="364" t="str">
        <f aca="false" t="array" ref="K59:K59">_xlfn.XLOOKUP(J59,tab_fatorTestes[[#All],[Dgts]],tab_fatorTestes[[#All],[Fator]],"Erro",-1,1)</f>
        <v>aq</v>
      </c>
      <c r="L59" s="364" t="b">
        <f aca="false">K59=H59</f>
        <v>1</v>
      </c>
      <c r="M59" s="417" t="n">
        <f aca="false">I59*$G$2</f>
        <v>7.375E+063</v>
      </c>
      <c r="N59" s="364" t="n">
        <f aca="false">LEN(TEXT(M59,0))</f>
        <v>64</v>
      </c>
      <c r="O59" s="418" t="n">
        <f aca="false">VLOOKUP(R59,tab_fatorTestes[],3,0)</f>
        <v>1E+063</v>
      </c>
      <c r="P59" s="363" t="n">
        <f aca="false">M59/O59</f>
        <v>7.375</v>
      </c>
      <c r="Q59" s="357" t="n">
        <f aca="false">ROUND(P59,(IF(P59&lt;10,2,IF(P59&lt;100,1,IF(P59&gt;100,0)))))</f>
        <v>7.38</v>
      </c>
      <c r="R59" s="418" t="str">
        <f aca="false" t="array" ref="R59:R59">_xlfn.XLOOKUP(N59,tab_fatorTestes[[#All],[Dgts]],tab_fatorTestes[[#All],[Fator]],"Erro",-1,1)</f>
        <v>aq</v>
      </c>
    </row>
    <row r="60" customFormat="false" ht="12.75" hidden="false" customHeight="true" outlineLevel="0" collapsed="false">
      <c r="F60" s="368" t="s">
        <v>159</v>
      </c>
      <c r="G60" s="72" t="n">
        <f aca="false">'Idle-Normal'!AE81</f>
        <v>109</v>
      </c>
      <c r="H60" s="73" t="str">
        <f aca="false">'Idle-Normal'!AF81</f>
        <v>aq</v>
      </c>
      <c r="I60" s="387" t="n">
        <f aca="false">G60*(VLOOKUP(H60,tab_fatorTestes[],3,0))</f>
        <v>1.09E+065</v>
      </c>
      <c r="J60" s="74" t="n">
        <f aca="false">LEN(TEXT(I60,0))</f>
        <v>66</v>
      </c>
      <c r="K60" s="74" t="str">
        <f aca="false" t="array" ref="K60:K60">_xlfn.XLOOKUP(J60,tab_fatorTestes[[#All],[Dgts]],tab_fatorTestes[[#All],[Fator]],"Erro",-1,1)</f>
        <v>aq</v>
      </c>
      <c r="L60" s="74" t="b">
        <f aca="false">K60=H60</f>
        <v>1</v>
      </c>
      <c r="M60" s="388" t="n">
        <f aca="false">I60*$G$2</f>
        <v>6.431E+065</v>
      </c>
      <c r="N60" s="74" t="n">
        <f aca="false">LEN(TEXT(M60,0))</f>
        <v>66</v>
      </c>
      <c r="O60" s="73" t="n">
        <f aca="false">VLOOKUP(R60,tab_fatorTestes[],3,0)</f>
        <v>1E+063</v>
      </c>
      <c r="P60" s="72" t="n">
        <f aca="false">M60/O60</f>
        <v>643.1</v>
      </c>
      <c r="Q60" s="72" t="n">
        <f aca="false">ROUND(P60,(IF(P60&lt;10,2,IF(P60&lt;100,1,IF(P60&gt;100,0)))))</f>
        <v>643</v>
      </c>
      <c r="R60" s="73" t="str">
        <f aca="false" t="array" ref="R60:R60">_xlfn.XLOOKUP(N60,tab_fatorTestes[[#All],[Dgts]],tab_fatorTestes[[#All],[Fator]],"Erro",-1,1)</f>
        <v>aq</v>
      </c>
    </row>
    <row r="61" customFormat="false" ht="12.75" hidden="false" customHeight="true" outlineLevel="0" collapsed="false">
      <c r="F61" s="4" t="s">
        <v>61</v>
      </c>
      <c r="M61" s="44" t="n">
        <f aca="false">SUM(M56:M60)</f>
        <v>3.688385E+066</v>
      </c>
      <c r="N61" s="5" t="n">
        <f aca="false">LEN(TEXT(M61,0))</f>
        <v>67</v>
      </c>
      <c r="O61" s="5" t="n">
        <f aca="false">VLOOKUP(R61,tab_fatorTestes[],3,0)</f>
        <v>1E+066</v>
      </c>
      <c r="P61" s="5" t="n">
        <f aca="false">M61/O61</f>
        <v>3.688385</v>
      </c>
      <c r="Q61" s="5" t="n">
        <f aca="false">ROUND(P61,(IF(P61&lt;10,2,IF(P61&lt;100,1,IF(P61&gt;100,0)))))</f>
        <v>3.69</v>
      </c>
      <c r="R61" s="5" t="str">
        <f aca="false" t="array" ref="R61:R61">_xlfn.XLOOKUP(N61,tab_fatorTestes[[#All],[Dgts]],tab_fatorTestes[[#All],[Fator]],"Erro",-1,1)</f>
        <v>ar</v>
      </c>
    </row>
  </sheetData>
  <mergeCells count="1">
    <mergeCell ref="G6:H6"/>
  </mergeCells>
  <conditionalFormatting sqref="E4">
    <cfRule type="dataBar" priority="2">
      <dataBar showValue="1" minLength="10" maxLength="90">
        <cfvo type="num" val="0"/>
        <cfvo type="num" val="0"/>
        <color rgb="FF0045D0"/>
      </dataBar>
      <extLst>
        <ext xmlns:x14="http://schemas.microsoft.com/office/spreadsheetml/2009/9/main" uri="{B025F937-C7B1-47D3-B67F-A62EFF666E3E}">
          <x14:id>{657B80CB-11AB-4BA4-A7C0-6E48C73050DE}</x14:id>
        </ext>
      </extLst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7B80CB-11AB-4BA4-A7C0-6E48C73050DE}">
            <x14:dataBar minLength="10" maxLength="90" axisPosition="automatic" gradient="false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E4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9:I1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H14" activeCellId="0" sqref="H14"/>
    </sheetView>
  </sheetViews>
  <sheetFormatPr defaultColWidth="8.6796875" defaultRowHeight="12.75" customHeight="false" zeroHeight="false" outlineLevelRow="0" outlineLevelCol="0"/>
  <sheetData>
    <row r="9" customFormat="false" ht="12.75" hidden="false" customHeight="false" outlineLevel="0" collapsed="false">
      <c r="H9" s="4" t="n">
        <v>80</v>
      </c>
      <c r="I9" s="4" t="n">
        <f aca="false">SUM(H10:H17)</f>
        <v>78</v>
      </c>
    </row>
    <row r="10" customFormat="false" ht="12.75" hidden="false" customHeight="false" outlineLevel="0" collapsed="false">
      <c r="G10" s="4" t="s">
        <v>170</v>
      </c>
      <c r="H10" s="4" t="n">
        <v>5</v>
      </c>
    </row>
    <row r="11" customFormat="false" ht="12.75" hidden="false" customHeight="false" outlineLevel="0" collapsed="false">
      <c r="G11" s="4" t="s">
        <v>171</v>
      </c>
      <c r="H11" s="4" t="n">
        <v>2</v>
      </c>
    </row>
    <row r="12" customFormat="false" ht="12.75" hidden="false" customHeight="false" outlineLevel="0" collapsed="false">
      <c r="G12" s="4" t="s">
        <v>172</v>
      </c>
      <c r="H12" s="4" t="n">
        <v>32</v>
      </c>
    </row>
    <row r="13" customFormat="false" ht="12.75" hidden="false" customHeight="false" outlineLevel="0" collapsed="false">
      <c r="G13" s="4" t="s">
        <v>173</v>
      </c>
      <c r="H13" s="4" t="n">
        <v>2</v>
      </c>
    </row>
    <row r="14" customFormat="false" ht="12.75" hidden="false" customHeight="false" outlineLevel="0" collapsed="false">
      <c r="G14" s="4" t="s">
        <v>174</v>
      </c>
      <c r="H14" s="4" t="n">
        <v>32</v>
      </c>
    </row>
    <row r="15" customFormat="false" ht="12.75" hidden="false" customHeight="false" outlineLevel="0" collapsed="false">
      <c r="G15" s="4" t="s">
        <v>175</v>
      </c>
      <c r="H15" s="4" t="n">
        <v>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2023-05-12T19:47:51Z</dcterms:created>
  <dc:creator>alosano</dc:creator>
  <dc:description/>
  <dc:language>pt-BR</dc:language>
  <cp:lastModifiedBy/>
  <dcterms:modified xsi:type="dcterms:W3CDTF">2026-05-13T20:44:36Z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